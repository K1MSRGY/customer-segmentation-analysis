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RXPC\Downloads\"/>
    </mc:Choice>
  </mc:AlternateContent>
  <xr:revisionPtr revIDLastSave="0" documentId="13_ncr:1_{DA0B52BE-ED7E-4363-B6DD-29A855A75778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№1" sheetId="1" r:id="rId1"/>
    <sheet name="№2" sheetId="2" r:id="rId2"/>
    <sheet name="№3" sheetId="3" r:id="rId3"/>
    <sheet name="№4" sheetId="4" r:id="rId4"/>
    <sheet name="№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CZNKvSFza0eqflViU2qPYtSjsfXB0F/AOsUskZWG65Q="/>
    </ext>
  </extLst>
</workbook>
</file>

<file path=xl/calcChain.xml><?xml version="1.0" encoding="utf-8"?>
<calcChain xmlns="http://schemas.openxmlformats.org/spreadsheetml/2006/main">
  <c r="M13" i="5" l="1" a="1"/>
  <c r="M13" i="5" s="1"/>
  <c r="M14" i="5" a="1"/>
  <c r="M14" i="5" s="1"/>
  <c r="M15" i="5" a="1"/>
  <c r="M15" i="5" s="1"/>
  <c r="M16" i="5" a="1"/>
  <c r="M16" i="5" s="1"/>
  <c r="M17" i="5" a="1"/>
  <c r="M17" i="5"/>
  <c r="M18" i="5" a="1"/>
  <c r="M18" i="5" s="1"/>
  <c r="M19" i="5" a="1"/>
  <c r="M19" i="5" s="1"/>
  <c r="M20" i="5" a="1"/>
  <c r="M20" i="5" s="1"/>
  <c r="M21" i="5" a="1"/>
  <c r="M21" i="5" s="1"/>
  <c r="M22" i="5" a="1"/>
  <c r="M22" i="5" s="1"/>
  <c r="M23" i="5" a="1"/>
  <c r="M23" i="5"/>
  <c r="M24" i="5" a="1"/>
  <c r="M24" i="5" s="1"/>
  <c r="M25" i="5" a="1"/>
  <c r="M25" i="5" s="1"/>
  <c r="M26" i="5" a="1"/>
  <c r="M26" i="5" s="1"/>
  <c r="M27" i="5" a="1"/>
  <c r="M27" i="5" s="1"/>
  <c r="M28" i="5" a="1"/>
  <c r="M28" i="5" s="1"/>
  <c r="M29" i="5" a="1"/>
  <c r="M29" i="5"/>
  <c r="M30" i="5" a="1"/>
  <c r="M30" i="5" s="1"/>
  <c r="M31" i="5" a="1"/>
  <c r="M31" i="5" s="1"/>
  <c r="M32" i="5" a="1"/>
  <c r="M32" i="5" s="1"/>
  <c r="M33" i="5" a="1"/>
  <c r="M33" i="5" s="1"/>
  <c r="M34" i="5" a="1"/>
  <c r="M34" i="5" s="1"/>
  <c r="M35" i="5" a="1"/>
  <c r="M35" i="5" s="1"/>
  <c r="M36" i="5" a="1"/>
  <c r="M36" i="5" s="1"/>
  <c r="M37" i="5" a="1"/>
  <c r="M37" i="5" s="1"/>
  <c r="M38" i="5" a="1"/>
  <c r="M38" i="5" s="1"/>
  <c r="M39" i="5" a="1"/>
  <c r="M39" i="5" s="1"/>
  <c r="M40" i="5" a="1"/>
  <c r="M40" i="5" s="1"/>
  <c r="M41" i="5" a="1"/>
  <c r="M41" i="5" s="1"/>
  <c r="M42" i="5" a="1"/>
  <c r="M42" i="5" s="1"/>
  <c r="M43" i="5" a="1"/>
  <c r="M43" i="5" s="1"/>
  <c r="M44" i="5" a="1"/>
  <c r="M44" i="5" s="1"/>
  <c r="M45" i="5" a="1"/>
  <c r="M45" i="5" s="1"/>
  <c r="M46" i="5" a="1"/>
  <c r="M46" i="5" s="1"/>
  <c r="M47" i="5" a="1"/>
  <c r="M47" i="5" s="1"/>
  <c r="M48" i="5" a="1"/>
  <c r="M48" i="5" s="1"/>
  <c r="M49" i="5" a="1"/>
  <c r="M49" i="5" s="1"/>
  <c r="M50" i="5" a="1"/>
  <c r="M50" i="5" s="1"/>
  <c r="M51" i="5" a="1"/>
  <c r="M51" i="5" s="1"/>
  <c r="M52" i="5" a="1"/>
  <c r="M52" i="5" s="1"/>
  <c r="M53" i="5" a="1"/>
  <c r="M53" i="5" s="1"/>
  <c r="M54" i="5" a="1"/>
  <c r="M54" i="5" s="1"/>
  <c r="M55" i="5" a="1"/>
  <c r="M55" i="5" s="1"/>
  <c r="M56" i="5" a="1"/>
  <c r="M56" i="5" s="1"/>
  <c r="M57" i="5" a="1"/>
  <c r="M57" i="5" s="1"/>
  <c r="M58" i="5" a="1"/>
  <c r="M58" i="5" s="1"/>
  <c r="M59" i="5" a="1"/>
  <c r="M59" i="5" s="1"/>
  <c r="M60" i="5" a="1"/>
  <c r="M60" i="5" s="1"/>
  <c r="M61" i="5" a="1"/>
  <c r="M61" i="5" s="1"/>
  <c r="M62" i="5" a="1"/>
  <c r="M62" i="5" s="1"/>
  <c r="M63" i="5" a="1"/>
  <c r="M63" i="5" s="1"/>
  <c r="M64" i="5" a="1"/>
  <c r="M64" i="5" s="1"/>
  <c r="M65" i="5" a="1"/>
  <c r="M65" i="5" s="1"/>
  <c r="M66" i="5" a="1"/>
  <c r="M66" i="5" s="1"/>
  <c r="M67" i="5" a="1"/>
  <c r="M67" i="5" s="1"/>
  <c r="M68" i="5" a="1"/>
  <c r="M68" i="5" s="1"/>
  <c r="M69" i="5" a="1"/>
  <c r="M69" i="5" s="1"/>
  <c r="M70" i="5" a="1"/>
  <c r="M70" i="5" s="1"/>
  <c r="M71" i="5" a="1"/>
  <c r="M71" i="5" s="1"/>
  <c r="M72" i="5" a="1"/>
  <c r="M72" i="5" s="1"/>
  <c r="M73" i="5" a="1"/>
  <c r="M73" i="5" s="1"/>
  <c r="M74" i="5" a="1"/>
  <c r="M74" i="5" s="1"/>
  <c r="M75" i="5" a="1"/>
  <c r="M75" i="5" s="1"/>
  <c r="M76" i="5" a="1"/>
  <c r="M76" i="5" s="1"/>
  <c r="M77" i="5" a="1"/>
  <c r="M77" i="5" s="1"/>
  <c r="M78" i="5" a="1"/>
  <c r="M78" i="5" s="1"/>
  <c r="M79" i="5" a="1"/>
  <c r="M79" i="5" s="1"/>
  <c r="M80" i="5" a="1"/>
  <c r="M80" i="5" s="1"/>
  <c r="M81" i="5" a="1"/>
  <c r="M81" i="5" s="1"/>
  <c r="M82" i="5" a="1"/>
  <c r="M82" i="5" s="1"/>
  <c r="M83" i="5" a="1"/>
  <c r="M83" i="5" s="1"/>
  <c r="M84" i="5" a="1"/>
  <c r="M84" i="5" s="1"/>
  <c r="M85" i="5" a="1"/>
  <c r="M85" i="5" s="1"/>
  <c r="M86" i="5" a="1"/>
  <c r="M86" i="5" s="1"/>
  <c r="M87" i="5" a="1"/>
  <c r="M87" i="5" s="1"/>
  <c r="M88" i="5" a="1"/>
  <c r="M88" i="5" s="1"/>
  <c r="M89" i="5" a="1"/>
  <c r="M89" i="5" s="1"/>
  <c r="M90" i="5" a="1"/>
  <c r="M90" i="5" s="1"/>
  <c r="M91" i="5" a="1"/>
  <c r="M91" i="5" s="1"/>
  <c r="M92" i="5" a="1"/>
  <c r="M92" i="5" s="1"/>
  <c r="M93" i="5" a="1"/>
  <c r="M93" i="5" s="1"/>
  <c r="M94" i="5" a="1"/>
  <c r="M94" i="5" s="1"/>
  <c r="M95" i="5" a="1"/>
  <c r="M95" i="5" s="1"/>
  <c r="M96" i="5" a="1"/>
  <c r="M96" i="5" s="1"/>
  <c r="M97" i="5" a="1"/>
  <c r="M97" i="5" s="1"/>
  <c r="M98" i="5" a="1"/>
  <c r="M98" i="5" s="1"/>
  <c r="M99" i="5" a="1"/>
  <c r="M99" i="5" s="1"/>
  <c r="M100" i="5" a="1"/>
  <c r="M100" i="5" s="1"/>
  <c r="M101" i="5" a="1"/>
  <c r="M101" i="5" s="1"/>
  <c r="M102" i="5" a="1"/>
  <c r="M102" i="5" s="1"/>
  <c r="M103" i="5" a="1"/>
  <c r="M103" i="5" s="1"/>
  <c r="M104" i="5" a="1"/>
  <c r="M104" i="5" s="1"/>
  <c r="M105" i="5" a="1"/>
  <c r="M105" i="5" s="1"/>
  <c r="M106" i="5" a="1"/>
  <c r="M106" i="5" s="1"/>
  <c r="M107" i="5" a="1"/>
  <c r="M107" i="5" s="1"/>
  <c r="M108" i="5" a="1"/>
  <c r="M108" i="5" s="1"/>
  <c r="M109" i="5" a="1"/>
  <c r="M109" i="5" s="1"/>
  <c r="M110" i="5" a="1"/>
  <c r="M110" i="5" s="1"/>
  <c r="M111" i="5" a="1"/>
  <c r="M111" i="5" s="1"/>
  <c r="M112" i="5" a="1"/>
  <c r="M112" i="5" s="1"/>
  <c r="M113" i="5" a="1"/>
  <c r="M113" i="5" s="1"/>
  <c r="M114" i="5" a="1"/>
  <c r="M114" i="5" s="1"/>
  <c r="M115" i="5" a="1"/>
  <c r="M115" i="5" s="1"/>
  <c r="M116" i="5" a="1"/>
  <c r="M116" i="5" s="1"/>
  <c r="M117" i="5" a="1"/>
  <c r="M117" i="5" s="1"/>
  <c r="M118" i="5" a="1"/>
  <c r="M118" i="5" s="1"/>
  <c r="M119" i="5" a="1"/>
  <c r="M119" i="5" s="1"/>
  <c r="M120" i="5" a="1"/>
  <c r="M120" i="5" s="1"/>
  <c r="M121" i="5" a="1"/>
  <c r="M121" i="5" s="1"/>
  <c r="M122" i="5" a="1"/>
  <c r="M122" i="5" s="1"/>
  <c r="M123" i="5" a="1"/>
  <c r="M123" i="5" s="1"/>
  <c r="M124" i="5" a="1"/>
  <c r="M124" i="5" s="1"/>
  <c r="M125" i="5" a="1"/>
  <c r="M125" i="5" s="1"/>
  <c r="M126" i="5" a="1"/>
  <c r="M126" i="5" s="1"/>
  <c r="M127" i="5" a="1"/>
  <c r="M127" i="5" s="1"/>
  <c r="M128" i="5" a="1"/>
  <c r="M128" i="5" s="1"/>
  <c r="M129" i="5" a="1"/>
  <c r="M129" i="5" s="1"/>
  <c r="M130" i="5" a="1"/>
  <c r="M130" i="5" s="1"/>
  <c r="M131" i="5" a="1"/>
  <c r="M131" i="5" s="1"/>
  <c r="M132" i="5" a="1"/>
  <c r="M132" i="5" s="1"/>
  <c r="M133" i="5" a="1"/>
  <c r="M133" i="5" s="1"/>
  <c r="M134" i="5" a="1"/>
  <c r="M134" i="5" s="1"/>
  <c r="M135" i="5" a="1"/>
  <c r="M135" i="5" s="1"/>
  <c r="M136" i="5" a="1"/>
  <c r="M136" i="5" s="1"/>
  <c r="M137" i="5" a="1"/>
  <c r="M137" i="5" s="1"/>
  <c r="M138" i="5" a="1"/>
  <c r="M138" i="5" s="1"/>
  <c r="M139" i="5" a="1"/>
  <c r="M139" i="5" s="1"/>
  <c r="M140" i="5" a="1"/>
  <c r="M140" i="5" s="1"/>
  <c r="M141" i="5" a="1"/>
  <c r="M141" i="5" s="1"/>
  <c r="M142" i="5" a="1"/>
  <c r="M142" i="5" s="1"/>
  <c r="M143" i="5" a="1"/>
  <c r="M143" i="5" s="1"/>
  <c r="M144" i="5" a="1"/>
  <c r="M144" i="5" s="1"/>
  <c r="M145" i="5" a="1"/>
  <c r="M145" i="5" s="1"/>
  <c r="M146" i="5" a="1"/>
  <c r="M146" i="5" s="1"/>
  <c r="M147" i="5" a="1"/>
  <c r="M147" i="5" s="1"/>
  <c r="M148" i="5" a="1"/>
  <c r="M148" i="5" s="1"/>
  <c r="M149" i="5" a="1"/>
  <c r="M149" i="5" s="1"/>
  <c r="M150" i="5" a="1"/>
  <c r="M150" i="5" s="1"/>
  <c r="M151" i="5" a="1"/>
  <c r="M151" i="5" s="1"/>
  <c r="M152" i="5" a="1"/>
  <c r="M152" i="5" s="1"/>
  <c r="M153" i="5" a="1"/>
  <c r="M153" i="5" s="1"/>
  <c r="M154" i="5" a="1"/>
  <c r="M154" i="5" s="1"/>
  <c r="M155" i="5" a="1"/>
  <c r="M155" i="5" s="1"/>
  <c r="M156" i="5" a="1"/>
  <c r="M156" i="5" s="1"/>
  <c r="M157" i="5" a="1"/>
  <c r="M157" i="5" s="1"/>
  <c r="M158" i="5" a="1"/>
  <c r="M158" i="5" s="1"/>
  <c r="M159" i="5" a="1"/>
  <c r="M159" i="5" s="1"/>
  <c r="M160" i="5" a="1"/>
  <c r="M160" i="5" s="1"/>
  <c r="M161" i="5" a="1"/>
  <c r="M161" i="5" s="1"/>
  <c r="M162" i="5" a="1"/>
  <c r="M162" i="5" s="1"/>
  <c r="M163" i="5" a="1"/>
  <c r="M163" i="5" s="1"/>
  <c r="M164" i="5" a="1"/>
  <c r="M164" i="5" s="1"/>
  <c r="M165" i="5" a="1"/>
  <c r="M165" i="5" s="1"/>
  <c r="M166" i="5" a="1"/>
  <c r="M166" i="5" s="1"/>
  <c r="M167" i="5" a="1"/>
  <c r="M167" i="5" s="1"/>
  <c r="M168" i="5" a="1"/>
  <c r="M168" i="5" s="1"/>
  <c r="M169" i="5" a="1"/>
  <c r="M169" i="5" s="1"/>
  <c r="M170" i="5" a="1"/>
  <c r="M170" i="5" s="1"/>
  <c r="M171" i="5" a="1"/>
  <c r="M171" i="5" s="1"/>
  <c r="M172" i="5" a="1"/>
  <c r="M172" i="5" s="1"/>
  <c r="M173" i="5" a="1"/>
  <c r="M173" i="5" s="1"/>
  <c r="M174" i="5" a="1"/>
  <c r="M174" i="5" s="1"/>
  <c r="M175" i="5" a="1"/>
  <c r="M175" i="5" s="1"/>
  <c r="M176" i="5" a="1"/>
  <c r="M176" i="5" s="1"/>
  <c r="M177" i="5" a="1"/>
  <c r="M177" i="5" s="1"/>
  <c r="M178" i="5" a="1"/>
  <c r="M178" i="5" s="1"/>
  <c r="M179" i="5" a="1"/>
  <c r="M179" i="5" s="1"/>
  <c r="M180" i="5" a="1"/>
  <c r="M180" i="5" s="1"/>
  <c r="M181" i="5" a="1"/>
  <c r="M181" i="5" s="1"/>
  <c r="M182" i="5" a="1"/>
  <c r="M182" i="5" s="1"/>
  <c r="M183" i="5" a="1"/>
  <c r="M183" i="5" s="1"/>
  <c r="M184" i="5" a="1"/>
  <c r="M184" i="5" s="1"/>
  <c r="M185" i="5" a="1"/>
  <c r="M185" i="5" s="1"/>
  <c r="M186" i="5" a="1"/>
  <c r="M186" i="5" s="1"/>
  <c r="M187" i="5" a="1"/>
  <c r="M187" i="5" s="1"/>
  <c r="M188" i="5" a="1"/>
  <c r="M188" i="5" s="1"/>
  <c r="M189" i="5" a="1"/>
  <c r="M189" i="5" s="1"/>
  <c r="M190" i="5" a="1"/>
  <c r="M190" i="5" s="1"/>
  <c r="M191" i="5" a="1"/>
  <c r="M191" i="5" s="1"/>
  <c r="M192" i="5" a="1"/>
  <c r="M192" i="5" s="1"/>
  <c r="M193" i="5" a="1"/>
  <c r="M193" i="5" s="1"/>
  <c r="M194" i="5" a="1"/>
  <c r="M194" i="5" s="1"/>
  <c r="M195" i="5" a="1"/>
  <c r="M195" i="5" s="1"/>
  <c r="M196" i="5" a="1"/>
  <c r="M196" i="5" s="1"/>
  <c r="M197" i="5" a="1"/>
  <c r="M197" i="5" s="1"/>
  <c r="M198" i="5" a="1"/>
  <c r="M198" i="5" s="1"/>
  <c r="M199" i="5" a="1"/>
  <c r="M199" i="5" s="1"/>
  <c r="M200" i="5" a="1"/>
  <c r="M200" i="5" s="1"/>
  <c r="M201" i="5" a="1"/>
  <c r="M201" i="5" s="1"/>
  <c r="M202" i="5" a="1"/>
  <c r="M202" i="5" s="1"/>
  <c r="M203" i="5" a="1"/>
  <c r="M203" i="5" s="1"/>
  <c r="M204" i="5" a="1"/>
  <c r="M204" i="5" s="1"/>
  <c r="M205" i="5" a="1"/>
  <c r="M205" i="5" s="1"/>
  <c r="M206" i="5" a="1"/>
  <c r="M206" i="5" s="1"/>
  <c r="M207" i="5" a="1"/>
  <c r="M207" i="5" s="1"/>
  <c r="M208" i="5" a="1"/>
  <c r="M208" i="5" s="1"/>
  <c r="M209" i="5" a="1"/>
  <c r="M209" i="5" s="1"/>
  <c r="M210" i="5" a="1"/>
  <c r="M210" i="5" s="1"/>
  <c r="M211" i="5" a="1"/>
  <c r="M211" i="5" s="1"/>
  <c r="M212" i="5" a="1"/>
  <c r="M212" i="5" s="1"/>
  <c r="M213" i="5" a="1"/>
  <c r="M213" i="5" s="1"/>
  <c r="M214" i="5" a="1"/>
  <c r="M214" i="5" s="1"/>
  <c r="M215" i="5" a="1"/>
  <c r="M215" i="5" s="1"/>
  <c r="M216" i="5" a="1"/>
  <c r="M216" i="5" s="1"/>
  <c r="M217" i="5" a="1"/>
  <c r="M217" i="5" s="1"/>
  <c r="M218" i="5" a="1"/>
  <c r="M218" i="5" s="1"/>
  <c r="M219" i="5" a="1"/>
  <c r="M219" i="5" s="1"/>
  <c r="M220" i="5" a="1"/>
  <c r="M220" i="5" s="1"/>
  <c r="M221" i="5" a="1"/>
  <c r="M221" i="5" s="1"/>
  <c r="M222" i="5" a="1"/>
  <c r="M222" i="5" s="1"/>
  <c r="M223" i="5" a="1"/>
  <c r="M223" i="5" s="1"/>
  <c r="M224" i="5" a="1"/>
  <c r="M224" i="5" s="1"/>
  <c r="M225" i="5" a="1"/>
  <c r="M225" i="5" s="1"/>
  <c r="M226" i="5" a="1"/>
  <c r="M226" i="5" s="1"/>
  <c r="M227" i="5" a="1"/>
  <c r="M227" i="5" s="1"/>
  <c r="M228" i="5" a="1"/>
  <c r="M228" i="5" s="1"/>
  <c r="M229" i="5" a="1"/>
  <c r="M229" i="5" s="1"/>
  <c r="M230" i="5" a="1"/>
  <c r="M230" i="5" s="1"/>
  <c r="M231" i="5" a="1"/>
  <c r="M231" i="5" s="1"/>
  <c r="M232" i="5" a="1"/>
  <c r="M232" i="5" s="1"/>
  <c r="M233" i="5" a="1"/>
  <c r="M233" i="5" s="1"/>
  <c r="M234" i="5" a="1"/>
  <c r="M234" i="5" s="1"/>
  <c r="M235" i="5" a="1"/>
  <c r="M235" i="5" s="1"/>
  <c r="M236" i="5" a="1"/>
  <c r="M236" i="5" s="1"/>
  <c r="M237" i="5" a="1"/>
  <c r="M237" i="5" s="1"/>
  <c r="M238" i="5" a="1"/>
  <c r="M238" i="5" s="1"/>
  <c r="M239" i="5" a="1"/>
  <c r="M239" i="5" s="1"/>
  <c r="M240" i="5" a="1"/>
  <c r="M240" i="5" s="1"/>
  <c r="M241" i="5" a="1"/>
  <c r="M241" i="5" s="1"/>
  <c r="M242" i="5" a="1"/>
  <c r="M242" i="5" s="1"/>
  <c r="M243" i="5" a="1"/>
  <c r="M243" i="5" s="1"/>
  <c r="M244" i="5" a="1"/>
  <c r="M244" i="5" s="1"/>
  <c r="M245" i="5" a="1"/>
  <c r="M245" i="5" s="1"/>
  <c r="M246" i="5" a="1"/>
  <c r="M246" i="5" s="1"/>
  <c r="M247" i="5" a="1"/>
  <c r="M247" i="5" s="1"/>
  <c r="M248" i="5" a="1"/>
  <c r="M248" i="5" s="1"/>
  <c r="M249" i="5" a="1"/>
  <c r="M249" i="5" s="1"/>
  <c r="M250" i="5" a="1"/>
  <c r="M250" i="5" s="1"/>
  <c r="M251" i="5" a="1"/>
  <c r="M251" i="5" s="1"/>
  <c r="M252" i="5" a="1"/>
  <c r="M252" i="5" s="1"/>
  <c r="M253" i="5" a="1"/>
  <c r="M253" i="5" s="1"/>
  <c r="M254" i="5" a="1"/>
  <c r="M254" i="5" s="1"/>
  <c r="M255" i="5" a="1"/>
  <c r="M255" i="5" s="1"/>
  <c r="M256" i="5" a="1"/>
  <c r="M256" i="5" s="1"/>
  <c r="M257" i="5" a="1"/>
  <c r="M257" i="5" s="1"/>
  <c r="M258" i="5" a="1"/>
  <c r="M258" i="5" s="1"/>
  <c r="M259" i="5" a="1"/>
  <c r="M259" i="5" s="1"/>
  <c r="M260" i="5" a="1"/>
  <c r="M260" i="5" s="1"/>
  <c r="M261" i="5" a="1"/>
  <c r="M261" i="5" s="1"/>
  <c r="M262" i="5" a="1"/>
  <c r="M262" i="5" s="1"/>
  <c r="M263" i="5" a="1"/>
  <c r="M263" i="5" s="1"/>
  <c r="M264" i="5" a="1"/>
  <c r="M264" i="5" s="1"/>
  <c r="M265" i="5" a="1"/>
  <c r="M265" i="5" s="1"/>
  <c r="M266" i="5" a="1"/>
  <c r="M266" i="5" s="1"/>
  <c r="M267" i="5" a="1"/>
  <c r="M267" i="5" s="1"/>
  <c r="M268" i="5" a="1"/>
  <c r="M268" i="5" s="1"/>
  <c r="M269" i="5" a="1"/>
  <c r="M269" i="5" s="1"/>
  <c r="M270" i="5" a="1"/>
  <c r="M270" i="5" s="1"/>
  <c r="M271" i="5" a="1"/>
  <c r="M271" i="5" s="1"/>
  <c r="M272" i="5" a="1"/>
  <c r="M272" i="5" s="1"/>
  <c r="M273" i="5" a="1"/>
  <c r="M273" i="5" s="1"/>
  <c r="M274" i="5" a="1"/>
  <c r="M274" i="5" s="1"/>
  <c r="M275" i="5" a="1"/>
  <c r="M275" i="5" s="1"/>
  <c r="M276" i="5" a="1"/>
  <c r="M276" i="5" s="1"/>
  <c r="M277" i="5" a="1"/>
  <c r="M277" i="5" s="1"/>
  <c r="M278" i="5" a="1"/>
  <c r="M278" i="5" s="1"/>
  <c r="M279" i="5" a="1"/>
  <c r="M279" i="5" s="1"/>
  <c r="M280" i="5" a="1"/>
  <c r="M280" i="5" s="1"/>
  <c r="M281" i="5" a="1"/>
  <c r="M281" i="5" s="1"/>
  <c r="M282" i="5" a="1"/>
  <c r="M282" i="5" s="1"/>
  <c r="M283" i="5" a="1"/>
  <c r="M283" i="5" s="1"/>
  <c r="M284" i="5" a="1"/>
  <c r="M284" i="5" s="1"/>
  <c r="M285" i="5" a="1"/>
  <c r="M285" i="5" s="1"/>
  <c r="M286" i="5" a="1"/>
  <c r="M286" i="5" s="1"/>
  <c r="M287" i="5" a="1"/>
  <c r="M287" i="5" s="1"/>
  <c r="M288" i="5" a="1"/>
  <c r="M288" i="5" s="1"/>
  <c r="M289" i="5" a="1"/>
  <c r="M289" i="5" s="1"/>
  <c r="M290" i="5" a="1"/>
  <c r="M290" i="5" s="1"/>
  <c r="M291" i="5" a="1"/>
  <c r="M291" i="5" s="1"/>
  <c r="M292" i="5" a="1"/>
  <c r="M292" i="5" s="1"/>
  <c r="M293" i="5" a="1"/>
  <c r="M293" i="5" s="1"/>
  <c r="M294" i="5" a="1"/>
  <c r="M294" i="5" s="1"/>
  <c r="M295" i="5" a="1"/>
  <c r="M295" i="5" s="1"/>
  <c r="M296" i="5" a="1"/>
  <c r="M296" i="5" s="1"/>
  <c r="M297" i="5" a="1"/>
  <c r="M297" i="5" s="1"/>
  <c r="M298" i="5" a="1"/>
  <c r="M298" i="5" s="1"/>
  <c r="M299" i="5" a="1"/>
  <c r="M299" i="5" s="1"/>
  <c r="M300" i="5" a="1"/>
  <c r="M300" i="5" s="1"/>
  <c r="M301" i="5" a="1"/>
  <c r="M301" i="5" s="1"/>
  <c r="M302" i="5" a="1"/>
  <c r="M302" i="5" s="1"/>
  <c r="M303" i="5" a="1"/>
  <c r="M303" i="5" s="1"/>
  <c r="M304" i="5" a="1"/>
  <c r="M304" i="5" s="1"/>
  <c r="M305" i="5" a="1"/>
  <c r="M305" i="5" s="1"/>
  <c r="M306" i="5" a="1"/>
  <c r="M306" i="5" s="1"/>
  <c r="M307" i="5" a="1"/>
  <c r="M307" i="5" s="1"/>
  <c r="M308" i="5" a="1"/>
  <c r="M308" i="5" s="1"/>
  <c r="M309" i="5" a="1"/>
  <c r="M309" i="5" s="1"/>
  <c r="M310" i="5" a="1"/>
  <c r="M310" i="5" s="1"/>
  <c r="M311" i="5" a="1"/>
  <c r="M311" i="5" s="1"/>
  <c r="M312" i="5" a="1"/>
  <c r="M312" i="5" s="1"/>
  <c r="M313" i="5" a="1"/>
  <c r="M313" i="5" s="1"/>
  <c r="M314" i="5" a="1"/>
  <c r="M314" i="5" s="1"/>
  <c r="M315" i="5" a="1"/>
  <c r="M315" i="5" s="1"/>
  <c r="M316" i="5" a="1"/>
  <c r="M316" i="5" s="1"/>
  <c r="M317" i="5" a="1"/>
  <c r="M317" i="5" s="1"/>
  <c r="M318" i="5" a="1"/>
  <c r="M318" i="5" s="1"/>
  <c r="M319" i="5" a="1"/>
  <c r="M319" i="5" s="1"/>
  <c r="M320" i="5" a="1"/>
  <c r="M320" i="5" s="1"/>
  <c r="M321" i="5" a="1"/>
  <c r="M321" i="5" s="1"/>
  <c r="M322" i="5" a="1"/>
  <c r="M322" i="5" s="1"/>
  <c r="M323" i="5" a="1"/>
  <c r="M323" i="5" s="1"/>
  <c r="M324" i="5" a="1"/>
  <c r="M324" i="5" s="1"/>
  <c r="M325" i="5" a="1"/>
  <c r="M325" i="5" s="1"/>
  <c r="M326" i="5" a="1"/>
  <c r="M326" i="5" s="1"/>
  <c r="M327" i="5" a="1"/>
  <c r="M327" i="5" s="1"/>
  <c r="M328" i="5" a="1"/>
  <c r="M328" i="5" s="1"/>
  <c r="M329" i="5" a="1"/>
  <c r="M329" i="5" s="1"/>
  <c r="M330" i="5" a="1"/>
  <c r="M330" i="5" s="1"/>
  <c r="M331" i="5" a="1"/>
  <c r="M331" i="5" s="1"/>
  <c r="M332" i="5" a="1"/>
  <c r="M332" i="5" s="1"/>
  <c r="M333" i="5" a="1"/>
  <c r="M333" i="5" s="1"/>
  <c r="M334" i="5" a="1"/>
  <c r="M334" i="5" s="1"/>
  <c r="M335" i="5" a="1"/>
  <c r="M335" i="5" s="1"/>
  <c r="M336" i="5" a="1"/>
  <c r="M336" i="5" s="1"/>
  <c r="M337" i="5" a="1"/>
  <c r="M337" i="5" s="1"/>
  <c r="M338" i="5" a="1"/>
  <c r="M338" i="5" s="1"/>
  <c r="M339" i="5" a="1"/>
  <c r="M339" i="5" s="1"/>
  <c r="M340" i="5" a="1"/>
  <c r="M340" i="5" s="1"/>
  <c r="M341" i="5" a="1"/>
  <c r="M341" i="5" s="1"/>
  <c r="M342" i="5" a="1"/>
  <c r="M342" i="5" s="1"/>
  <c r="M343" i="5" a="1"/>
  <c r="M343" i="5" s="1"/>
  <c r="M344" i="5" a="1"/>
  <c r="M344" i="5" s="1"/>
  <c r="M345" i="5" a="1"/>
  <c r="M345" i="5" s="1"/>
  <c r="M346" i="5" a="1"/>
  <c r="M346" i="5" s="1"/>
  <c r="M347" i="5" a="1"/>
  <c r="M347" i="5" s="1"/>
  <c r="M348" i="5" a="1"/>
  <c r="M348" i="5" s="1"/>
  <c r="M349" i="5" a="1"/>
  <c r="M349" i="5" s="1"/>
  <c r="M350" i="5" a="1"/>
  <c r="M350" i="5" s="1"/>
  <c r="M351" i="5" a="1"/>
  <c r="M351" i="5" s="1"/>
  <c r="M352" i="5" a="1"/>
  <c r="M352" i="5" s="1"/>
  <c r="M353" i="5" a="1"/>
  <c r="M353" i="5" s="1"/>
  <c r="M354" i="5" a="1"/>
  <c r="M354" i="5" s="1"/>
  <c r="M355" i="5" a="1"/>
  <c r="M355" i="5" s="1"/>
  <c r="M356" i="5" a="1"/>
  <c r="M356" i="5" s="1"/>
  <c r="M357" i="5" a="1"/>
  <c r="M357" i="5" s="1"/>
  <c r="M358" i="5" a="1"/>
  <c r="M358" i="5" s="1"/>
  <c r="M359" i="5" a="1"/>
  <c r="M359" i="5" s="1"/>
  <c r="M360" i="5" a="1"/>
  <c r="M360" i="5" s="1"/>
  <c r="M361" i="5" a="1"/>
  <c r="M361" i="5" s="1"/>
  <c r="M362" i="5" a="1"/>
  <c r="M362" i="5" s="1"/>
  <c r="M363" i="5" a="1"/>
  <c r="M363" i="5" s="1"/>
  <c r="M364" i="5" a="1"/>
  <c r="M364" i="5" s="1"/>
  <c r="M365" i="5" a="1"/>
  <c r="M365" i="5" s="1"/>
  <c r="M366" i="5" a="1"/>
  <c r="M366" i="5" s="1"/>
  <c r="M367" i="5" a="1"/>
  <c r="M367" i="5" s="1"/>
  <c r="M368" i="5" a="1"/>
  <c r="M368" i="5" s="1"/>
  <c r="M369" i="5" a="1"/>
  <c r="M369" i="5" s="1"/>
  <c r="M370" i="5" a="1"/>
  <c r="M370" i="5" s="1"/>
  <c r="M371" i="5" a="1"/>
  <c r="M371" i="5" s="1"/>
  <c r="M372" i="5" a="1"/>
  <c r="M372" i="5" s="1"/>
  <c r="M373" i="5" a="1"/>
  <c r="M373" i="5" s="1"/>
  <c r="M374" i="5" a="1"/>
  <c r="M374" i="5" s="1"/>
  <c r="M375" i="5" a="1"/>
  <c r="M375" i="5" s="1"/>
  <c r="M376" i="5" a="1"/>
  <c r="M376" i="5" s="1"/>
  <c r="M377" i="5" a="1"/>
  <c r="M377" i="5" s="1"/>
  <c r="M378" i="5" a="1"/>
  <c r="M378" i="5" s="1"/>
  <c r="M379" i="5" a="1"/>
  <c r="M379" i="5" s="1"/>
  <c r="M380" i="5" a="1"/>
  <c r="M380" i="5" s="1"/>
  <c r="M381" i="5" a="1"/>
  <c r="M381" i="5" s="1"/>
  <c r="M382" i="5" a="1"/>
  <c r="M382" i="5" s="1"/>
  <c r="M383" i="5" a="1"/>
  <c r="M383" i="5" s="1"/>
  <c r="M12" i="5" a="1"/>
  <c r="M12" i="5" s="1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12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12" i="5"/>
  <c r="B6" i="5"/>
  <c r="B7" i="5"/>
  <c r="B8" i="5"/>
  <c r="B5" i="5"/>
  <c r="H13" i="5" a="1"/>
  <c r="H13" i="5" s="1"/>
  <c r="H14" i="5" a="1"/>
  <c r="H14" i="5"/>
  <c r="H15" i="5" a="1"/>
  <c r="H15" i="5" s="1"/>
  <c r="H16" i="5" a="1"/>
  <c r="H16" i="5" s="1"/>
  <c r="H17" i="5" a="1"/>
  <c r="H17" i="5"/>
  <c r="H18" i="5" a="1"/>
  <c r="H18" i="5" s="1"/>
  <c r="H19" i="5" a="1"/>
  <c r="H19" i="5" s="1"/>
  <c r="H20" i="5" a="1"/>
  <c r="H20" i="5" s="1"/>
  <c r="H21" i="5" a="1"/>
  <c r="H21" i="5" s="1"/>
  <c r="H22" i="5" a="1"/>
  <c r="H22" i="5" s="1"/>
  <c r="H23" i="5" a="1"/>
  <c r="H23" i="5" s="1"/>
  <c r="H24" i="5" a="1"/>
  <c r="H24" i="5" s="1"/>
  <c r="H25" i="5" a="1"/>
  <c r="H25" i="5" s="1"/>
  <c r="H26" i="5" a="1"/>
  <c r="H26" i="5"/>
  <c r="H27" i="5" a="1"/>
  <c r="H27" i="5" s="1"/>
  <c r="H28" i="5" a="1"/>
  <c r="H28" i="5" s="1"/>
  <c r="H29" i="5" a="1"/>
  <c r="H29" i="5" s="1"/>
  <c r="H30" i="5" a="1"/>
  <c r="H30" i="5" s="1"/>
  <c r="H31" i="5" a="1"/>
  <c r="H31" i="5" s="1"/>
  <c r="H32" i="5" a="1"/>
  <c r="H32" i="5" s="1"/>
  <c r="H33" i="5" a="1"/>
  <c r="H33" i="5" s="1"/>
  <c r="H34" i="5" a="1"/>
  <c r="H34" i="5" s="1"/>
  <c r="H35" i="5" a="1"/>
  <c r="H35" i="5" s="1"/>
  <c r="H36" i="5" a="1"/>
  <c r="H36" i="5" s="1"/>
  <c r="H37" i="5" a="1"/>
  <c r="H37" i="5" s="1"/>
  <c r="H38" i="5" a="1"/>
  <c r="H38" i="5" s="1"/>
  <c r="H39" i="5" a="1"/>
  <c r="H39" i="5" s="1"/>
  <c r="H40" i="5" a="1"/>
  <c r="H40" i="5" s="1"/>
  <c r="H41" i="5" a="1"/>
  <c r="H41" i="5" s="1"/>
  <c r="H42" i="5" a="1"/>
  <c r="H42" i="5" s="1"/>
  <c r="H43" i="5" a="1"/>
  <c r="H43" i="5" s="1"/>
  <c r="H44" i="5" a="1"/>
  <c r="H44" i="5" s="1"/>
  <c r="H45" i="5" a="1"/>
  <c r="H45" i="5" s="1"/>
  <c r="H46" i="5" a="1"/>
  <c r="H46" i="5" s="1"/>
  <c r="H47" i="5" a="1"/>
  <c r="H47" i="5" s="1"/>
  <c r="H48" i="5" a="1"/>
  <c r="H48" i="5" s="1"/>
  <c r="H49" i="5" a="1"/>
  <c r="H49" i="5" s="1"/>
  <c r="H50" i="5" a="1"/>
  <c r="H50" i="5" s="1"/>
  <c r="H51" i="5" a="1"/>
  <c r="H51" i="5" s="1"/>
  <c r="H52" i="5" a="1"/>
  <c r="H52" i="5" s="1"/>
  <c r="H53" i="5" a="1"/>
  <c r="H53" i="5" s="1"/>
  <c r="H54" i="5" a="1"/>
  <c r="H54" i="5" s="1"/>
  <c r="H55" i="5" a="1"/>
  <c r="H55" i="5" s="1"/>
  <c r="H56" i="5" a="1"/>
  <c r="H56" i="5" s="1"/>
  <c r="H57" i="5" a="1"/>
  <c r="H57" i="5" s="1"/>
  <c r="H58" i="5" a="1"/>
  <c r="H58" i="5" s="1"/>
  <c r="H59" i="5" a="1"/>
  <c r="H59" i="5" s="1"/>
  <c r="H60" i="5" a="1"/>
  <c r="H60" i="5" s="1"/>
  <c r="H61" i="5" a="1"/>
  <c r="H61" i="5" s="1"/>
  <c r="H62" i="5" a="1"/>
  <c r="H62" i="5" s="1"/>
  <c r="H63" i="5" a="1"/>
  <c r="H63" i="5" s="1"/>
  <c r="H64" i="5" a="1"/>
  <c r="H64" i="5" s="1"/>
  <c r="H65" i="5" a="1"/>
  <c r="H65" i="5" s="1"/>
  <c r="H66" i="5" a="1"/>
  <c r="H66" i="5" s="1"/>
  <c r="H67" i="5" a="1"/>
  <c r="H67" i="5" s="1"/>
  <c r="H68" i="5" a="1"/>
  <c r="H68" i="5" s="1"/>
  <c r="H69" i="5" a="1"/>
  <c r="H69" i="5" s="1"/>
  <c r="H70" i="5" a="1"/>
  <c r="H70" i="5" s="1"/>
  <c r="H71" i="5" a="1"/>
  <c r="H71" i="5" s="1"/>
  <c r="H72" i="5" a="1"/>
  <c r="H72" i="5" s="1"/>
  <c r="H73" i="5" a="1"/>
  <c r="H73" i="5" s="1"/>
  <c r="H74" i="5" a="1"/>
  <c r="H74" i="5" s="1"/>
  <c r="H75" i="5" a="1"/>
  <c r="H75" i="5" s="1"/>
  <c r="H76" i="5" a="1"/>
  <c r="H76" i="5" s="1"/>
  <c r="H77" i="5" a="1"/>
  <c r="H77" i="5" s="1"/>
  <c r="H78" i="5" a="1"/>
  <c r="H78" i="5" s="1"/>
  <c r="H79" i="5" a="1"/>
  <c r="H79" i="5" s="1"/>
  <c r="H80" i="5" a="1"/>
  <c r="H80" i="5" s="1"/>
  <c r="H81" i="5" a="1"/>
  <c r="H81" i="5" s="1"/>
  <c r="H82" i="5" a="1"/>
  <c r="H82" i="5" s="1"/>
  <c r="H83" i="5" a="1"/>
  <c r="H83" i="5" s="1"/>
  <c r="H84" i="5" a="1"/>
  <c r="H84" i="5" s="1"/>
  <c r="H85" i="5" a="1"/>
  <c r="H85" i="5" s="1"/>
  <c r="H86" i="5" a="1"/>
  <c r="H86" i="5" s="1"/>
  <c r="H87" i="5" a="1"/>
  <c r="H87" i="5" s="1"/>
  <c r="H88" i="5" a="1"/>
  <c r="H88" i="5" s="1"/>
  <c r="H89" i="5" a="1"/>
  <c r="H89" i="5" s="1"/>
  <c r="H90" i="5" a="1"/>
  <c r="H90" i="5" s="1"/>
  <c r="H91" i="5" a="1"/>
  <c r="H91" i="5" s="1"/>
  <c r="H92" i="5" a="1"/>
  <c r="H92" i="5" s="1"/>
  <c r="H93" i="5" a="1"/>
  <c r="H93" i="5" s="1"/>
  <c r="H94" i="5" a="1"/>
  <c r="H94" i="5" s="1"/>
  <c r="H95" i="5" a="1"/>
  <c r="H95" i="5" s="1"/>
  <c r="H96" i="5" a="1"/>
  <c r="H96" i="5" s="1"/>
  <c r="H97" i="5" a="1"/>
  <c r="H97" i="5" s="1"/>
  <c r="H98" i="5" a="1"/>
  <c r="H98" i="5" s="1"/>
  <c r="H99" i="5" a="1"/>
  <c r="H99" i="5" s="1"/>
  <c r="H100" i="5" a="1"/>
  <c r="H100" i="5" s="1"/>
  <c r="H101" i="5" a="1"/>
  <c r="H101" i="5" s="1"/>
  <c r="H102" i="5" a="1"/>
  <c r="H102" i="5" s="1"/>
  <c r="H103" i="5" a="1"/>
  <c r="H103" i="5" s="1"/>
  <c r="H104" i="5" a="1"/>
  <c r="H104" i="5" s="1"/>
  <c r="H105" i="5" a="1"/>
  <c r="H105" i="5" s="1"/>
  <c r="H106" i="5" a="1"/>
  <c r="H106" i="5" s="1"/>
  <c r="H107" i="5" a="1"/>
  <c r="H107" i="5" s="1"/>
  <c r="H108" i="5" a="1"/>
  <c r="H108" i="5" s="1"/>
  <c r="H109" i="5" a="1"/>
  <c r="H109" i="5" s="1"/>
  <c r="H110" i="5" a="1"/>
  <c r="H110" i="5" s="1"/>
  <c r="H111" i="5" a="1"/>
  <c r="H111" i="5" s="1"/>
  <c r="H112" i="5" a="1"/>
  <c r="H112" i="5" s="1"/>
  <c r="H113" i="5" a="1"/>
  <c r="H113" i="5" s="1"/>
  <c r="H114" i="5" a="1"/>
  <c r="H114" i="5" s="1"/>
  <c r="H115" i="5" a="1"/>
  <c r="H115" i="5" s="1"/>
  <c r="H116" i="5" a="1"/>
  <c r="H116" i="5" s="1"/>
  <c r="H117" i="5" a="1"/>
  <c r="H117" i="5" s="1"/>
  <c r="H118" i="5" a="1"/>
  <c r="H118" i="5" s="1"/>
  <c r="H119" i="5" a="1"/>
  <c r="H119" i="5" s="1"/>
  <c r="H120" i="5" a="1"/>
  <c r="H120" i="5" s="1"/>
  <c r="H121" i="5" a="1"/>
  <c r="H121" i="5" s="1"/>
  <c r="H122" i="5" a="1"/>
  <c r="H122" i="5" s="1"/>
  <c r="H123" i="5" a="1"/>
  <c r="H123" i="5" s="1"/>
  <c r="H124" i="5" a="1"/>
  <c r="H124" i="5" s="1"/>
  <c r="H125" i="5" a="1"/>
  <c r="H125" i="5" s="1"/>
  <c r="H126" i="5" a="1"/>
  <c r="H126" i="5" s="1"/>
  <c r="H127" i="5" a="1"/>
  <c r="H127" i="5" s="1"/>
  <c r="H128" i="5" a="1"/>
  <c r="H128" i="5" s="1"/>
  <c r="H129" i="5" a="1"/>
  <c r="H129" i="5" s="1"/>
  <c r="H130" i="5" a="1"/>
  <c r="H130" i="5" s="1"/>
  <c r="H131" i="5" a="1"/>
  <c r="H131" i="5" s="1"/>
  <c r="H132" i="5" a="1"/>
  <c r="H132" i="5" s="1"/>
  <c r="H133" i="5" a="1"/>
  <c r="H133" i="5" s="1"/>
  <c r="H134" i="5" a="1"/>
  <c r="H134" i="5" s="1"/>
  <c r="H135" i="5" a="1"/>
  <c r="H135" i="5" s="1"/>
  <c r="H136" i="5" a="1"/>
  <c r="H136" i="5" s="1"/>
  <c r="H137" i="5" a="1"/>
  <c r="H137" i="5" s="1"/>
  <c r="H138" i="5" a="1"/>
  <c r="H138" i="5" s="1"/>
  <c r="H139" i="5" a="1"/>
  <c r="H139" i="5" s="1"/>
  <c r="H140" i="5" a="1"/>
  <c r="H140" i="5" s="1"/>
  <c r="H141" i="5" a="1"/>
  <c r="H141" i="5" s="1"/>
  <c r="H142" i="5" a="1"/>
  <c r="H142" i="5" s="1"/>
  <c r="H143" i="5" a="1"/>
  <c r="H143" i="5" s="1"/>
  <c r="H144" i="5" a="1"/>
  <c r="H144" i="5" s="1"/>
  <c r="H145" i="5" a="1"/>
  <c r="H145" i="5" s="1"/>
  <c r="H146" i="5" a="1"/>
  <c r="H146" i="5" s="1"/>
  <c r="H147" i="5" a="1"/>
  <c r="H147" i="5" s="1"/>
  <c r="H148" i="5" a="1"/>
  <c r="H148" i="5" s="1"/>
  <c r="H149" i="5" a="1"/>
  <c r="H149" i="5" s="1"/>
  <c r="H150" i="5" a="1"/>
  <c r="H150" i="5" s="1"/>
  <c r="H151" i="5" a="1"/>
  <c r="H151" i="5" s="1"/>
  <c r="H152" i="5" a="1"/>
  <c r="H152" i="5" s="1"/>
  <c r="H153" i="5" a="1"/>
  <c r="H153" i="5" s="1"/>
  <c r="H154" i="5" a="1"/>
  <c r="H154" i="5" s="1"/>
  <c r="H155" i="5" a="1"/>
  <c r="H155" i="5" s="1"/>
  <c r="H156" i="5" a="1"/>
  <c r="H156" i="5" s="1"/>
  <c r="H157" i="5" a="1"/>
  <c r="H157" i="5" s="1"/>
  <c r="H158" i="5" a="1"/>
  <c r="H158" i="5" s="1"/>
  <c r="H159" i="5" a="1"/>
  <c r="H159" i="5" s="1"/>
  <c r="H160" i="5" a="1"/>
  <c r="H160" i="5" s="1"/>
  <c r="H161" i="5" a="1"/>
  <c r="H161" i="5" s="1"/>
  <c r="H162" i="5" a="1"/>
  <c r="H162" i="5" s="1"/>
  <c r="H163" i="5" a="1"/>
  <c r="H163" i="5" s="1"/>
  <c r="H164" i="5" a="1"/>
  <c r="H164" i="5" s="1"/>
  <c r="H165" i="5" a="1"/>
  <c r="H165" i="5" s="1"/>
  <c r="H166" i="5" a="1"/>
  <c r="H166" i="5" s="1"/>
  <c r="H167" i="5" a="1"/>
  <c r="H167" i="5" s="1"/>
  <c r="H168" i="5" a="1"/>
  <c r="H168" i="5" s="1"/>
  <c r="H169" i="5" a="1"/>
  <c r="H169" i="5" s="1"/>
  <c r="H170" i="5" a="1"/>
  <c r="H170" i="5" s="1"/>
  <c r="H171" i="5" a="1"/>
  <c r="H171" i="5" s="1"/>
  <c r="H172" i="5" a="1"/>
  <c r="H172" i="5" s="1"/>
  <c r="H173" i="5" a="1"/>
  <c r="H173" i="5" s="1"/>
  <c r="H174" i="5" a="1"/>
  <c r="H174" i="5" s="1"/>
  <c r="H175" i="5" a="1"/>
  <c r="H175" i="5" s="1"/>
  <c r="H176" i="5" a="1"/>
  <c r="H176" i="5" s="1"/>
  <c r="H177" i="5" a="1"/>
  <c r="H177" i="5" s="1"/>
  <c r="H178" i="5" a="1"/>
  <c r="H178" i="5" s="1"/>
  <c r="H179" i="5" a="1"/>
  <c r="H179" i="5" s="1"/>
  <c r="H180" i="5" a="1"/>
  <c r="H180" i="5" s="1"/>
  <c r="H181" i="5" a="1"/>
  <c r="H181" i="5" s="1"/>
  <c r="H182" i="5" a="1"/>
  <c r="H182" i="5" s="1"/>
  <c r="H183" i="5" a="1"/>
  <c r="H183" i="5" s="1"/>
  <c r="H184" i="5" a="1"/>
  <c r="H184" i="5" s="1"/>
  <c r="H185" i="5" a="1"/>
  <c r="H185" i="5" s="1"/>
  <c r="H186" i="5" a="1"/>
  <c r="H186" i="5" s="1"/>
  <c r="H187" i="5" a="1"/>
  <c r="H187" i="5" s="1"/>
  <c r="H188" i="5" a="1"/>
  <c r="H188" i="5" s="1"/>
  <c r="H189" i="5" a="1"/>
  <c r="H189" i="5" s="1"/>
  <c r="H190" i="5" a="1"/>
  <c r="H190" i="5" s="1"/>
  <c r="H191" i="5" a="1"/>
  <c r="H191" i="5" s="1"/>
  <c r="H192" i="5" a="1"/>
  <c r="H192" i="5" s="1"/>
  <c r="H193" i="5" a="1"/>
  <c r="H193" i="5" s="1"/>
  <c r="H194" i="5" a="1"/>
  <c r="H194" i="5" s="1"/>
  <c r="H195" i="5" a="1"/>
  <c r="H195" i="5" s="1"/>
  <c r="H196" i="5" a="1"/>
  <c r="H196" i="5" s="1"/>
  <c r="H197" i="5" a="1"/>
  <c r="H197" i="5" s="1"/>
  <c r="H198" i="5" a="1"/>
  <c r="H198" i="5" s="1"/>
  <c r="H199" i="5" a="1"/>
  <c r="H199" i="5" s="1"/>
  <c r="H200" i="5" a="1"/>
  <c r="H200" i="5" s="1"/>
  <c r="H201" i="5" a="1"/>
  <c r="H201" i="5" s="1"/>
  <c r="H202" i="5" a="1"/>
  <c r="H202" i="5" s="1"/>
  <c r="H203" i="5" a="1"/>
  <c r="H203" i="5" s="1"/>
  <c r="H204" i="5" a="1"/>
  <c r="H204" i="5" s="1"/>
  <c r="H205" i="5" a="1"/>
  <c r="H205" i="5" s="1"/>
  <c r="H206" i="5" a="1"/>
  <c r="H206" i="5" s="1"/>
  <c r="H207" i="5" a="1"/>
  <c r="H207" i="5" s="1"/>
  <c r="H208" i="5" a="1"/>
  <c r="H208" i="5" s="1"/>
  <c r="H209" i="5" a="1"/>
  <c r="H209" i="5" s="1"/>
  <c r="H210" i="5" a="1"/>
  <c r="H210" i="5" s="1"/>
  <c r="H211" i="5" a="1"/>
  <c r="H211" i="5" s="1"/>
  <c r="H212" i="5" a="1"/>
  <c r="H212" i="5" s="1"/>
  <c r="H213" i="5" a="1"/>
  <c r="H213" i="5" s="1"/>
  <c r="H214" i="5" a="1"/>
  <c r="H214" i="5" s="1"/>
  <c r="H215" i="5" a="1"/>
  <c r="H215" i="5" s="1"/>
  <c r="H216" i="5" a="1"/>
  <c r="H216" i="5" s="1"/>
  <c r="H217" i="5" a="1"/>
  <c r="H217" i="5" s="1"/>
  <c r="H218" i="5" a="1"/>
  <c r="H218" i="5" s="1"/>
  <c r="H219" i="5" a="1"/>
  <c r="H219" i="5" s="1"/>
  <c r="H220" i="5" a="1"/>
  <c r="H220" i="5" s="1"/>
  <c r="H221" i="5" a="1"/>
  <c r="H221" i="5" s="1"/>
  <c r="H222" i="5" a="1"/>
  <c r="H222" i="5" s="1"/>
  <c r="H223" i="5" a="1"/>
  <c r="H223" i="5" s="1"/>
  <c r="H224" i="5" a="1"/>
  <c r="H224" i="5" s="1"/>
  <c r="H225" i="5" a="1"/>
  <c r="H225" i="5" s="1"/>
  <c r="H226" i="5" a="1"/>
  <c r="H226" i="5" s="1"/>
  <c r="H227" i="5" a="1"/>
  <c r="H227" i="5" s="1"/>
  <c r="H228" i="5" a="1"/>
  <c r="H228" i="5" s="1"/>
  <c r="H229" i="5" a="1"/>
  <c r="H229" i="5" s="1"/>
  <c r="H230" i="5" a="1"/>
  <c r="H230" i="5" s="1"/>
  <c r="H231" i="5" a="1"/>
  <c r="H231" i="5" s="1"/>
  <c r="H232" i="5" a="1"/>
  <c r="H232" i="5" s="1"/>
  <c r="H233" i="5" a="1"/>
  <c r="H233" i="5" s="1"/>
  <c r="H234" i="5" a="1"/>
  <c r="H234" i="5" s="1"/>
  <c r="H235" i="5" a="1"/>
  <c r="H235" i="5" s="1"/>
  <c r="H236" i="5" a="1"/>
  <c r="H236" i="5" s="1"/>
  <c r="H237" i="5" a="1"/>
  <c r="H237" i="5" s="1"/>
  <c r="H238" i="5" a="1"/>
  <c r="H238" i="5" s="1"/>
  <c r="H239" i="5" a="1"/>
  <c r="H239" i="5" s="1"/>
  <c r="H240" i="5" a="1"/>
  <c r="H240" i="5" s="1"/>
  <c r="H241" i="5" a="1"/>
  <c r="H241" i="5" s="1"/>
  <c r="H242" i="5" a="1"/>
  <c r="H242" i="5" s="1"/>
  <c r="H243" i="5" a="1"/>
  <c r="H243" i="5" s="1"/>
  <c r="H244" i="5" a="1"/>
  <c r="H244" i="5" s="1"/>
  <c r="H245" i="5" a="1"/>
  <c r="H245" i="5" s="1"/>
  <c r="H246" i="5" a="1"/>
  <c r="H246" i="5" s="1"/>
  <c r="H247" i="5" a="1"/>
  <c r="H247" i="5" s="1"/>
  <c r="H248" i="5" a="1"/>
  <c r="H248" i="5" s="1"/>
  <c r="H249" i="5" a="1"/>
  <c r="H249" i="5" s="1"/>
  <c r="H250" i="5" a="1"/>
  <c r="H250" i="5" s="1"/>
  <c r="H251" i="5" a="1"/>
  <c r="H251" i="5" s="1"/>
  <c r="H252" i="5" a="1"/>
  <c r="H252" i="5" s="1"/>
  <c r="H253" i="5" a="1"/>
  <c r="H253" i="5" s="1"/>
  <c r="H254" i="5" a="1"/>
  <c r="H254" i="5" s="1"/>
  <c r="H255" i="5" a="1"/>
  <c r="H255" i="5" s="1"/>
  <c r="H256" i="5" a="1"/>
  <c r="H256" i="5" s="1"/>
  <c r="H257" i="5" a="1"/>
  <c r="H257" i="5" s="1"/>
  <c r="H258" i="5" a="1"/>
  <c r="H258" i="5" s="1"/>
  <c r="H259" i="5" a="1"/>
  <c r="H259" i="5" s="1"/>
  <c r="H260" i="5" a="1"/>
  <c r="H260" i="5" s="1"/>
  <c r="H261" i="5" a="1"/>
  <c r="H261" i="5" s="1"/>
  <c r="H262" i="5" a="1"/>
  <c r="H262" i="5" s="1"/>
  <c r="H263" i="5" a="1"/>
  <c r="H263" i="5" s="1"/>
  <c r="H264" i="5" a="1"/>
  <c r="H264" i="5" s="1"/>
  <c r="H265" i="5" a="1"/>
  <c r="H265" i="5" s="1"/>
  <c r="H266" i="5" a="1"/>
  <c r="H266" i="5" s="1"/>
  <c r="H267" i="5" a="1"/>
  <c r="H267" i="5" s="1"/>
  <c r="H268" i="5" a="1"/>
  <c r="H268" i="5" s="1"/>
  <c r="H269" i="5" a="1"/>
  <c r="H269" i="5" s="1"/>
  <c r="H270" i="5" a="1"/>
  <c r="H270" i="5" s="1"/>
  <c r="H271" i="5" a="1"/>
  <c r="H271" i="5" s="1"/>
  <c r="H272" i="5" a="1"/>
  <c r="H272" i="5" s="1"/>
  <c r="H273" i="5" a="1"/>
  <c r="H273" i="5" s="1"/>
  <c r="H274" i="5" a="1"/>
  <c r="H274" i="5" s="1"/>
  <c r="H275" i="5" a="1"/>
  <c r="H275" i="5" s="1"/>
  <c r="H276" i="5" a="1"/>
  <c r="H276" i="5" s="1"/>
  <c r="H277" i="5" a="1"/>
  <c r="H277" i="5" s="1"/>
  <c r="H278" i="5" a="1"/>
  <c r="H278" i="5" s="1"/>
  <c r="H279" i="5" a="1"/>
  <c r="H279" i="5" s="1"/>
  <c r="H280" i="5" a="1"/>
  <c r="H280" i="5" s="1"/>
  <c r="H281" i="5" a="1"/>
  <c r="H281" i="5" s="1"/>
  <c r="H282" i="5" a="1"/>
  <c r="H282" i="5" s="1"/>
  <c r="H283" i="5" a="1"/>
  <c r="H283" i="5" s="1"/>
  <c r="H284" i="5" a="1"/>
  <c r="H284" i="5" s="1"/>
  <c r="H285" i="5" a="1"/>
  <c r="H285" i="5" s="1"/>
  <c r="H286" i="5" a="1"/>
  <c r="H286" i="5" s="1"/>
  <c r="H287" i="5" a="1"/>
  <c r="H287" i="5" s="1"/>
  <c r="H288" i="5" a="1"/>
  <c r="H288" i="5" s="1"/>
  <c r="H289" i="5" a="1"/>
  <c r="H289" i="5" s="1"/>
  <c r="H290" i="5" a="1"/>
  <c r="H290" i="5" s="1"/>
  <c r="H291" i="5" a="1"/>
  <c r="H291" i="5" s="1"/>
  <c r="H292" i="5" a="1"/>
  <c r="H292" i="5" s="1"/>
  <c r="H293" i="5" a="1"/>
  <c r="H293" i="5" s="1"/>
  <c r="H294" i="5" a="1"/>
  <c r="H294" i="5" s="1"/>
  <c r="H295" i="5" a="1"/>
  <c r="H295" i="5" s="1"/>
  <c r="H296" i="5" a="1"/>
  <c r="H296" i="5" s="1"/>
  <c r="H297" i="5" a="1"/>
  <c r="H297" i="5" s="1"/>
  <c r="H298" i="5" a="1"/>
  <c r="H298" i="5" s="1"/>
  <c r="H299" i="5" a="1"/>
  <c r="H299" i="5" s="1"/>
  <c r="H300" i="5" a="1"/>
  <c r="H300" i="5" s="1"/>
  <c r="H301" i="5" a="1"/>
  <c r="H301" i="5" s="1"/>
  <c r="H302" i="5" a="1"/>
  <c r="H302" i="5" s="1"/>
  <c r="H303" i="5" a="1"/>
  <c r="H303" i="5" s="1"/>
  <c r="H304" i="5" a="1"/>
  <c r="H304" i="5" s="1"/>
  <c r="H305" i="5" a="1"/>
  <c r="H305" i="5" s="1"/>
  <c r="H306" i="5" a="1"/>
  <c r="H306" i="5" s="1"/>
  <c r="H307" i="5" a="1"/>
  <c r="H307" i="5" s="1"/>
  <c r="H308" i="5" a="1"/>
  <c r="H308" i="5" s="1"/>
  <c r="H309" i="5" a="1"/>
  <c r="H309" i="5" s="1"/>
  <c r="H310" i="5" a="1"/>
  <c r="H310" i="5" s="1"/>
  <c r="H311" i="5" a="1"/>
  <c r="H311" i="5" s="1"/>
  <c r="H312" i="5" a="1"/>
  <c r="H312" i="5" s="1"/>
  <c r="H313" i="5" a="1"/>
  <c r="H313" i="5" s="1"/>
  <c r="H314" i="5" a="1"/>
  <c r="H314" i="5" s="1"/>
  <c r="H315" i="5" a="1"/>
  <c r="H315" i="5" s="1"/>
  <c r="H316" i="5" a="1"/>
  <c r="H316" i="5" s="1"/>
  <c r="H317" i="5" a="1"/>
  <c r="H317" i="5" s="1"/>
  <c r="H318" i="5" a="1"/>
  <c r="H318" i="5" s="1"/>
  <c r="H319" i="5" a="1"/>
  <c r="H319" i="5" s="1"/>
  <c r="H320" i="5" a="1"/>
  <c r="H320" i="5" s="1"/>
  <c r="H321" i="5" a="1"/>
  <c r="H321" i="5" s="1"/>
  <c r="H322" i="5" a="1"/>
  <c r="H322" i="5" s="1"/>
  <c r="H323" i="5" a="1"/>
  <c r="H323" i="5" s="1"/>
  <c r="H324" i="5" a="1"/>
  <c r="H324" i="5" s="1"/>
  <c r="H325" i="5" a="1"/>
  <c r="H325" i="5" s="1"/>
  <c r="H326" i="5" a="1"/>
  <c r="H326" i="5" s="1"/>
  <c r="H327" i="5" a="1"/>
  <c r="H327" i="5" s="1"/>
  <c r="H328" i="5" a="1"/>
  <c r="H328" i="5" s="1"/>
  <c r="H329" i="5" a="1"/>
  <c r="H329" i="5" s="1"/>
  <c r="H330" i="5" a="1"/>
  <c r="H330" i="5" s="1"/>
  <c r="H331" i="5" a="1"/>
  <c r="H331" i="5" s="1"/>
  <c r="H332" i="5" a="1"/>
  <c r="H332" i="5" s="1"/>
  <c r="H333" i="5" a="1"/>
  <c r="H333" i="5" s="1"/>
  <c r="H334" i="5" a="1"/>
  <c r="H334" i="5" s="1"/>
  <c r="H335" i="5" a="1"/>
  <c r="H335" i="5" s="1"/>
  <c r="H336" i="5" a="1"/>
  <c r="H336" i="5" s="1"/>
  <c r="H337" i="5" a="1"/>
  <c r="H337" i="5" s="1"/>
  <c r="H338" i="5" a="1"/>
  <c r="H338" i="5" s="1"/>
  <c r="H339" i="5" a="1"/>
  <c r="H339" i="5" s="1"/>
  <c r="H340" i="5" a="1"/>
  <c r="H340" i="5" s="1"/>
  <c r="H341" i="5" a="1"/>
  <c r="H341" i="5" s="1"/>
  <c r="H342" i="5" a="1"/>
  <c r="H342" i="5" s="1"/>
  <c r="H343" i="5" a="1"/>
  <c r="H343" i="5" s="1"/>
  <c r="H344" i="5" a="1"/>
  <c r="H344" i="5" s="1"/>
  <c r="H345" i="5" a="1"/>
  <c r="H345" i="5" s="1"/>
  <c r="H346" i="5" a="1"/>
  <c r="H346" i="5" s="1"/>
  <c r="H347" i="5" a="1"/>
  <c r="H347" i="5" s="1"/>
  <c r="H348" i="5" a="1"/>
  <c r="H348" i="5" s="1"/>
  <c r="H349" i="5" a="1"/>
  <c r="H349" i="5" s="1"/>
  <c r="H350" i="5" a="1"/>
  <c r="H350" i="5" s="1"/>
  <c r="H351" i="5" a="1"/>
  <c r="H351" i="5" s="1"/>
  <c r="H352" i="5" a="1"/>
  <c r="H352" i="5" s="1"/>
  <c r="H353" i="5" a="1"/>
  <c r="H353" i="5" s="1"/>
  <c r="H354" i="5" a="1"/>
  <c r="H354" i="5" s="1"/>
  <c r="H355" i="5" a="1"/>
  <c r="H355" i="5" s="1"/>
  <c r="H356" i="5" a="1"/>
  <c r="H356" i="5" s="1"/>
  <c r="H357" i="5" a="1"/>
  <c r="H357" i="5" s="1"/>
  <c r="H358" i="5" a="1"/>
  <c r="H358" i="5" s="1"/>
  <c r="H359" i="5" a="1"/>
  <c r="H359" i="5" s="1"/>
  <c r="H360" i="5" a="1"/>
  <c r="H360" i="5" s="1"/>
  <c r="H361" i="5" a="1"/>
  <c r="H361" i="5" s="1"/>
  <c r="H362" i="5" a="1"/>
  <c r="H362" i="5" s="1"/>
  <c r="H363" i="5" a="1"/>
  <c r="H363" i="5" s="1"/>
  <c r="H364" i="5" a="1"/>
  <c r="H364" i="5" s="1"/>
  <c r="H365" i="5" a="1"/>
  <c r="H365" i="5" s="1"/>
  <c r="H366" i="5" a="1"/>
  <c r="H366" i="5" s="1"/>
  <c r="H367" i="5" a="1"/>
  <c r="H367" i="5" s="1"/>
  <c r="H368" i="5" a="1"/>
  <c r="H368" i="5" s="1"/>
  <c r="H369" i="5" a="1"/>
  <c r="H369" i="5" s="1"/>
  <c r="H370" i="5" a="1"/>
  <c r="H370" i="5" s="1"/>
  <c r="H371" i="5" a="1"/>
  <c r="H371" i="5" s="1"/>
  <c r="H372" i="5" a="1"/>
  <c r="H372" i="5" s="1"/>
  <c r="H373" i="5" a="1"/>
  <c r="H373" i="5" s="1"/>
  <c r="H374" i="5" a="1"/>
  <c r="H374" i="5" s="1"/>
  <c r="H375" i="5" a="1"/>
  <c r="H375" i="5" s="1"/>
  <c r="H376" i="5" a="1"/>
  <c r="H376" i="5" s="1"/>
  <c r="H377" i="5" a="1"/>
  <c r="H377" i="5" s="1"/>
  <c r="H378" i="5" a="1"/>
  <c r="H378" i="5" s="1"/>
  <c r="H379" i="5" a="1"/>
  <c r="H379" i="5" s="1"/>
  <c r="H380" i="5" a="1"/>
  <c r="H380" i="5" s="1"/>
  <c r="H381" i="5" a="1"/>
  <c r="H381" i="5" s="1"/>
  <c r="H382" i="5" a="1"/>
  <c r="H382" i="5" s="1"/>
  <c r="H383" i="5" a="1"/>
  <c r="H383" i="5" s="1"/>
  <c r="H12" i="5" a="1"/>
  <c r="H12" i="5" s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5" i="4"/>
  <c r="B12" i="3"/>
  <c r="H18" i="3"/>
  <c r="H19" i="3"/>
  <c r="H20" i="3"/>
  <c r="H21" i="3"/>
  <c r="H22" i="3"/>
  <c r="H23" i="3"/>
  <c r="H24" i="3"/>
  <c r="H25" i="3"/>
  <c r="H26" i="3"/>
  <c r="H27" i="3"/>
  <c r="B9" i="3" s="1"/>
  <c r="H28" i="3"/>
  <c r="H29" i="3"/>
  <c r="H30" i="3"/>
  <c r="H31" i="3"/>
  <c r="H32" i="3"/>
  <c r="H33" i="3"/>
  <c r="H34" i="3"/>
  <c r="H35" i="3"/>
  <c r="H36" i="3"/>
  <c r="H37" i="3"/>
  <c r="H38" i="3"/>
  <c r="H39" i="3"/>
  <c r="B5" i="3" s="1"/>
  <c r="H40" i="3"/>
  <c r="B10" i="3" s="1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17" i="3"/>
  <c r="B6" i="3"/>
  <c r="B7" i="3"/>
  <c r="B8" i="3"/>
  <c r="B11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17" i="3"/>
  <c r="C6" i="2"/>
  <c r="C7" i="2"/>
  <c r="C8" i="2"/>
  <c r="C9" i="2"/>
  <c r="C10" i="2"/>
  <c r="C11" i="2"/>
  <c r="C12" i="2"/>
  <c r="C13" i="2"/>
  <c r="C14" i="2"/>
  <c r="C15" i="2"/>
  <c r="C16" i="2"/>
  <c r="C17" i="2"/>
  <c r="C5" i="2"/>
  <c r="D5" i="2" a="1"/>
  <c r="D5" i="2" s="1"/>
  <c r="D4" i="1"/>
  <c r="B6" i="2"/>
  <c r="B7" i="2"/>
  <c r="B8" i="2"/>
  <c r="B9" i="2"/>
  <c r="B10" i="2"/>
  <c r="B11" i="2"/>
  <c r="B12" i="2"/>
  <c r="B13" i="2"/>
  <c r="B14" i="2"/>
  <c r="B15" i="2"/>
  <c r="B16" i="2"/>
  <c r="B17" i="2"/>
  <c r="B5" i="2"/>
  <c r="D5" i="1"/>
  <c r="D6" i="1"/>
  <c r="D7" i="1"/>
  <c r="D8" i="1"/>
  <c r="D9" i="1"/>
  <c r="D10" i="1"/>
  <c r="D11" i="1"/>
  <c r="D12" i="1"/>
  <c r="D13" i="1"/>
  <c r="D14" i="1"/>
  <c r="C5" i="1"/>
  <c r="C6" i="1"/>
  <c r="C7" i="1"/>
  <c r="C8" i="1"/>
  <c r="C9" i="1"/>
  <c r="C10" i="1"/>
  <c r="C11" i="1"/>
  <c r="C12" i="1"/>
  <c r="C13" i="1"/>
  <c r="C14" i="1"/>
  <c r="C4" i="1"/>
  <c r="B9" i="1"/>
  <c r="B5" i="1"/>
  <c r="B6" i="1"/>
  <c r="B7" i="1"/>
  <c r="B8" i="1"/>
  <c r="B10" i="1"/>
  <c r="B11" i="1"/>
  <c r="B12" i="1"/>
  <c r="B13" i="1"/>
  <c r="B14" i="1"/>
  <c r="B4" i="1"/>
  <c r="B1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<sst xmlns="http://schemas.openxmlformats.org/spreadsheetml/2006/main" count="1000" uniqueCount="653">
  <si>
    <t>Заполните ячейки таблицы, выделенные желтым цветом, с помощью формул</t>
  </si>
  <si>
    <t>Номер заказа</t>
  </si>
  <si>
    <t>Оборот по кассе</t>
  </si>
  <si>
    <t>Кол-во услуг</t>
  </si>
  <si>
    <t>Место забора</t>
  </si>
  <si>
    <t>ХЕЛ00000000006507985</t>
  </si>
  <si>
    <t>ХЕЛ00000000006507989</t>
  </si>
  <si>
    <t>ХЕЛ00000000006507715</t>
  </si>
  <si>
    <t>ХЕЛ00000000006507768</t>
  </si>
  <si>
    <t>ХЕЛ00000000006507757</t>
  </si>
  <si>
    <t>ХЕЛ00000000006507773</t>
  </si>
  <si>
    <t>ХЕЛ00000000006507765</t>
  </si>
  <si>
    <t>ХЕЛ00000000006507766</t>
  </si>
  <si>
    <t>ХЕЛ00000000006507760</t>
  </si>
  <si>
    <t>ХЕЛ00000000006507774</t>
  </si>
  <si>
    <t>ХЕЛ00000000006508049</t>
  </si>
  <si>
    <t>Исходные данные</t>
  </si>
  <si>
    <t>Оборот марки по кассе</t>
  </si>
  <si>
    <t>ДЦ Озерки</t>
  </si>
  <si>
    <t>ХЕЛ00000000006507660</t>
  </si>
  <si>
    <t>ДЦ на Дзержинского</t>
  </si>
  <si>
    <t>ХЕЛ00000000006507661</t>
  </si>
  <si>
    <t>ДЦ Сертоловский</t>
  </si>
  <si>
    <t>ХЕЛ00000000006507662</t>
  </si>
  <si>
    <t>ДЦ Сосновоборский</t>
  </si>
  <si>
    <t>ХЕЛ00000000006507711</t>
  </si>
  <si>
    <t>ДЦ Варшавский</t>
  </si>
  <si>
    <t>ХЕЛ00000000006507712</t>
  </si>
  <si>
    <t>ДЦ Васильевский</t>
  </si>
  <si>
    <t>ХЕЛ00000000006507713</t>
  </si>
  <si>
    <t>ДЦ Ржевка</t>
  </si>
  <si>
    <t>ДЦ Приморский</t>
  </si>
  <si>
    <t>ХЕЛ00000000006507756</t>
  </si>
  <si>
    <t>ДЦ Коломяжский</t>
  </si>
  <si>
    <t>ХЕЛ00000000006507758</t>
  </si>
  <si>
    <t>ХЕЛ00000000006507759</t>
  </si>
  <si>
    <t>ДЦ Международный</t>
  </si>
  <si>
    <t>ДЦ на Карповке</t>
  </si>
  <si>
    <t>ХЕЛ00000000006507761</t>
  </si>
  <si>
    <t>ДЦ на Композиторов</t>
  </si>
  <si>
    <t>ХЕЛ00000000006507762</t>
  </si>
  <si>
    <t>ДЦ Южный</t>
  </si>
  <si>
    <t>ХЕЛ00000000006507763</t>
  </si>
  <si>
    <t>ДЦ Бескудниковский</t>
  </si>
  <si>
    <t>ХЕЛ00000000006507764</t>
  </si>
  <si>
    <t>ДЦ Купчино</t>
  </si>
  <si>
    <t>ДЦ Сосногорский</t>
  </si>
  <si>
    <t>ДЦ Ульянка</t>
  </si>
  <si>
    <t>ХЕЛ00000000006507767</t>
  </si>
  <si>
    <t>ДЦ Яхтенный</t>
  </si>
  <si>
    <t>ДЦ на Народной</t>
  </si>
  <si>
    <t>ХЕЛ00000000006507769</t>
  </si>
  <si>
    <t>ДЦ на Лесной</t>
  </si>
  <si>
    <t>ХЕЛ00000000006507770</t>
  </si>
  <si>
    <t>ДЦ Новгородский</t>
  </si>
  <si>
    <t>ХЕЛ00000000006507771</t>
  </si>
  <si>
    <t>ДЦ на Наставников</t>
  </si>
  <si>
    <t>ХЕЛ00000000006507772</t>
  </si>
  <si>
    <t>ДЦ Московский</t>
  </si>
  <si>
    <t>ЛП на Избирателей</t>
  </si>
  <si>
    <t>ДЦ Юго-Западный</t>
  </si>
  <si>
    <t>ДЦ Володарский</t>
  </si>
  <si>
    <t>ХЕЛ00000000006507987</t>
  </si>
  <si>
    <t>ХЕЛ00000000006507991</t>
  </si>
  <si>
    <t>ДЦ Кировский</t>
  </si>
  <si>
    <t>ХЕЛ00000000006507992</t>
  </si>
  <si>
    <t>ХЕЛ00000000006507994</t>
  </si>
  <si>
    <t>ХЕЛ00000000006508031</t>
  </si>
  <si>
    <t>ДЦ Оккервиль</t>
  </si>
  <si>
    <t>ХЕЛ00000000006508037</t>
  </si>
  <si>
    <t>Число упоминаний в таблице ниже</t>
  </si>
  <si>
    <t>Рейтинг по числу упоминаний
(от большего к меньшему)</t>
  </si>
  <si>
    <t>ДЦ Гражданский</t>
  </si>
  <si>
    <t>ДЦ Академический</t>
  </si>
  <si>
    <t>ДЦ Дыбенко</t>
  </si>
  <si>
    <t>ДЦ Всеволожский</t>
  </si>
  <si>
    <t>ДЦ Звёздный</t>
  </si>
  <si>
    <t>ДЦ Братеево</t>
  </si>
  <si>
    <t>ДЦ на Науки</t>
  </si>
  <si>
    <t>ДЦ Удельный</t>
  </si>
  <si>
    <t>ЛП на Мира</t>
  </si>
  <si>
    <t>ДЦ Лахтинский</t>
  </si>
  <si>
    <t>ДЦ Металлострой</t>
  </si>
  <si>
    <t>ДЦ Институтский</t>
  </si>
  <si>
    <t>ДЦ на Среднем проспекте</t>
  </si>
  <si>
    <t>ЛП на Павлуновского</t>
  </si>
  <si>
    <t>ДЦ Сестрорецкий</t>
  </si>
  <si>
    <t>ЛП на Проспекте Ленина</t>
  </si>
  <si>
    <t>ДЦ Полюстровский</t>
  </si>
  <si>
    <t>ДЦ на Ветеранов</t>
  </si>
  <si>
    <t>ДЦ на Площади Мужества</t>
  </si>
  <si>
    <t>ДЦ Рыбацкое</t>
  </si>
  <si>
    <t>ДЦ Лосиноостровский</t>
  </si>
  <si>
    <t>ДЦ Юнтоловский</t>
  </si>
  <si>
    <t>ДЦ Прибалтийский</t>
  </si>
  <si>
    <t>ДЦ Владимирский</t>
  </si>
  <si>
    <t>ДЦ на Парашютной</t>
  </si>
  <si>
    <t>ДЦ Муринский</t>
  </si>
  <si>
    <t>ДЦ Солнечный</t>
  </si>
  <si>
    <t>ЛП на 8 Марта</t>
  </si>
  <si>
    <t>ДЦ на Ленинском</t>
  </si>
  <si>
    <t>ЛП на Невском</t>
  </si>
  <si>
    <t>ЛП Дальневосточный</t>
  </si>
  <si>
    <t>ЛП на Баскакова</t>
  </si>
  <si>
    <t>ДЦ на Коллонтай</t>
  </si>
  <si>
    <t>ДЦ на Рощинской</t>
  </si>
  <si>
    <t>ЛП Норильский</t>
  </si>
  <si>
    <t>ДЦ Заневский</t>
  </si>
  <si>
    <t>ДЦ Петроградский</t>
  </si>
  <si>
    <t>ЛП на Разина</t>
  </si>
  <si>
    <t>ДЦ Псковский</t>
  </si>
  <si>
    <t>ЛП Отрадное</t>
  </si>
  <si>
    <t>ДЦ Ижорский</t>
  </si>
  <si>
    <t>ДЦ Царскосельский</t>
  </si>
  <si>
    <t>ДЦ Охтинский</t>
  </si>
  <si>
    <t>ДЦ на Просвещения</t>
  </si>
  <si>
    <t>ДЦ Пионерский</t>
  </si>
  <si>
    <t>ДЦ Волховский</t>
  </si>
  <si>
    <t>ДЦ Новоколомяжский</t>
  </si>
  <si>
    <t>ДЦ Новокосинский</t>
  </si>
  <si>
    <t>ЛП на Петра Великого</t>
  </si>
  <si>
    <t>ДЦ Елизаровский</t>
  </si>
  <si>
    <t>ДЦ Тамбасовский</t>
  </si>
  <si>
    <t>ДЦ Ломоносовский</t>
  </si>
  <si>
    <t>ДЦ Тихвинский</t>
  </si>
  <si>
    <t>ДЦ Оружейный</t>
  </si>
  <si>
    <t>ДЦ на Суворова</t>
  </si>
  <si>
    <t>ЛП на Александра Невского</t>
  </si>
  <si>
    <t>ЛП на Набережной</t>
  </si>
  <si>
    <t>ДЦ Владикавказский</t>
  </si>
  <si>
    <t>ЛП Сухоложский</t>
  </si>
  <si>
    <t>Округ</t>
  </si>
  <si>
    <t>Сумма</t>
  </si>
  <si>
    <t>Северо-Западный</t>
  </si>
  <si>
    <t>Южный</t>
  </si>
  <si>
    <t>Центральный</t>
  </si>
  <si>
    <t>Сибирский</t>
  </si>
  <si>
    <t>Приволжский</t>
  </si>
  <si>
    <t>Северо-Кавказский</t>
  </si>
  <si>
    <t>Уральский</t>
  </si>
  <si>
    <t>Итого:</t>
  </si>
  <si>
    <t>Субъект</t>
  </si>
  <si>
    <t>сумма</t>
  </si>
  <si>
    <t>Кировская область</t>
  </si>
  <si>
    <t>Приволжский федеральный округ</t>
  </si>
  <si>
    <t>Архангельская область</t>
  </si>
  <si>
    <t>Нижегородская область</t>
  </si>
  <si>
    <t>Астраханская область</t>
  </si>
  <si>
    <t>Оренбургская область</t>
  </si>
  <si>
    <t>Белгородская область</t>
  </si>
  <si>
    <t>Пензенская область</t>
  </si>
  <si>
    <t>Брянская область</t>
  </si>
  <si>
    <t>Пермский край</t>
  </si>
  <si>
    <t>Владимирская область</t>
  </si>
  <si>
    <t>Республика Башкортостан</t>
  </si>
  <si>
    <t>Волгоградская область</t>
  </si>
  <si>
    <t>Республика Марий Эл</t>
  </si>
  <si>
    <t>Вологодская область</t>
  </si>
  <si>
    <t>Республика Мордовия</t>
  </si>
  <si>
    <t>Воронежская область</t>
  </si>
  <si>
    <t>Республика Татарстан</t>
  </si>
  <si>
    <t>Ивановская область</t>
  </si>
  <si>
    <t>Республика Чувашия</t>
  </si>
  <si>
    <t>Иркутская область</t>
  </si>
  <si>
    <t>Самарская область</t>
  </si>
  <si>
    <t>Калининградская область</t>
  </si>
  <si>
    <t>Саратовская область</t>
  </si>
  <si>
    <t>Калужская область</t>
  </si>
  <si>
    <t>Ульяновская область</t>
  </si>
  <si>
    <t>Северо-Западный федеральный округ</t>
  </si>
  <si>
    <t>Костромская область</t>
  </si>
  <si>
    <t>Краснодарский край</t>
  </si>
  <si>
    <t>Курская область</t>
  </si>
  <si>
    <t>Ленинградская область</t>
  </si>
  <si>
    <t>Мурманская область</t>
  </si>
  <si>
    <t>Липецкая область</t>
  </si>
  <si>
    <t>Новгородская область</t>
  </si>
  <si>
    <t>Москва</t>
  </si>
  <si>
    <t>Псковская область</t>
  </si>
  <si>
    <t>Московская область</t>
  </si>
  <si>
    <t>Республика Карелия</t>
  </si>
  <si>
    <t>Республика Коми</t>
  </si>
  <si>
    <t>Санкт-Петербург</t>
  </si>
  <si>
    <t>Республика Дагестан</t>
  </si>
  <si>
    <t>Северо-Кавказский федеральный округ</t>
  </si>
  <si>
    <t>Новосибирская область</t>
  </si>
  <si>
    <t>Республика Кабардино-Балкария</t>
  </si>
  <si>
    <t>Республика Северная Осетия-Алания</t>
  </si>
  <si>
    <t>Орловская область</t>
  </si>
  <si>
    <t>Республика Чечня</t>
  </si>
  <si>
    <t>Ставропольский край</t>
  </si>
  <si>
    <t>Сибирский федеральный округ</t>
  </si>
  <si>
    <t>Свердловская область</t>
  </si>
  <si>
    <t>Уральский федеральный округ</t>
  </si>
  <si>
    <t>Тюменская область</t>
  </si>
  <si>
    <t>Челябинская область</t>
  </si>
  <si>
    <t>Ямало-Ненецкий автономный округ</t>
  </si>
  <si>
    <t>Центральный федеральный округ</t>
  </si>
  <si>
    <t>Республика Крым</t>
  </si>
  <si>
    <t>Ростовская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</si>
  <si>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</si>
  <si>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</si>
  <si>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</si>
  <si>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</si>
  <si>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</si>
  <si>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</si>
  <si>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Южный федеральный округ</t>
  </si>
  <si>
    <t>Необходима формула, которая во втором столбце подставит данные при наличии даты или оставит ячейку пустой, если города нет в списке.</t>
  </si>
  <si>
    <t>Округ / Город</t>
  </si>
  <si>
    <t>Дата</t>
  </si>
  <si>
    <t>Город</t>
  </si>
  <si>
    <t>Благовещенск</t>
  </si>
  <si>
    <t>Абакан</t>
  </si>
  <si>
    <t>2 июля 2012</t>
  </si>
  <si>
    <t>Владивосток</t>
  </si>
  <si>
    <t>1 апреля 2013</t>
  </si>
  <si>
    <t>Хабаровск</t>
  </si>
  <si>
    <t>Волгоград</t>
  </si>
  <si>
    <t>13 мая 2013</t>
  </si>
  <si>
    <t>Бугульма</t>
  </si>
  <si>
    <t>Волжский</t>
  </si>
  <si>
    <t>5 ноября 2012</t>
  </si>
  <si>
    <t>Ижевск</t>
  </si>
  <si>
    <t>15 апреля 2013</t>
  </si>
  <si>
    <t>Йошкар-Ола</t>
  </si>
  <si>
    <t>5 ноября 2012</t>
  </si>
  <si>
    <t>Набережные Челны</t>
  </si>
  <si>
    <t>Казань</t>
  </si>
  <si>
    <t>Красноярск</t>
  </si>
  <si>
    <t>10 августа 2012</t>
  </si>
  <si>
    <t>Уфа</t>
  </si>
  <si>
    <t>Вологда</t>
  </si>
  <si>
    <t>Стерлитамак</t>
  </si>
  <si>
    <t>16 апреля 2012</t>
  </si>
  <si>
    <t>Ульяновск</t>
  </si>
  <si>
    <t>Нижневартовск</t>
  </si>
  <si>
    <t>5 марта 2012</t>
  </si>
  <si>
    <t>Чебоксары</t>
  </si>
  <si>
    <t>Димитровград</t>
  </si>
  <si>
    <t>Новосибирск</t>
  </si>
  <si>
    <t>15 мая 2013</t>
  </si>
  <si>
    <t>Великие Луки</t>
  </si>
  <si>
    <t>Оренбург</t>
  </si>
  <si>
    <t>Великий Новгород</t>
  </si>
  <si>
    <t>Орск</t>
  </si>
  <si>
    <t>Мурманск</t>
  </si>
  <si>
    <t>1 октября 2011</t>
  </si>
  <si>
    <t>Петрозаводск</t>
  </si>
  <si>
    <t>Пенза</t>
  </si>
  <si>
    <t>Псков</t>
  </si>
  <si>
    <t>Сыктывкар</t>
  </si>
  <si>
    <t>18 июля 2012</t>
  </si>
  <si>
    <t>Киров</t>
  </si>
  <si>
    <t>Саратов</t>
  </si>
  <si>
    <t>1 июня 2012</t>
  </si>
  <si>
    <t>Калининград</t>
  </si>
  <si>
    <t>16 августа 2012</t>
  </si>
  <si>
    <t>Ухта</t>
  </si>
  <si>
    <t>Сызрань</t>
  </si>
  <si>
    <t>1 октября 2012</t>
  </si>
  <si>
    <t>Тольятти</t>
  </si>
  <si>
    <t>Архангельск</t>
  </si>
  <si>
    <t>Череповец</t>
  </si>
  <si>
    <t>16 августа 2012</t>
  </si>
  <si>
    <t>Котлас</t>
  </si>
  <si>
    <t>Энгельс</t>
  </si>
  <si>
    <t>22 августа 2012</t>
  </si>
  <si>
    <t>Северодвинск</t>
  </si>
  <si>
    <t>Группа клиентов</t>
  </si>
  <si>
    <t>Количество клиентов</t>
  </si>
  <si>
    <t>Пояснения:</t>
  </si>
  <si>
    <t>Новый</t>
  </si>
  <si>
    <t>Впервые посетил центр не более чем 3 месяца назад</t>
  </si>
  <si>
    <t>Действующий</t>
  </si>
  <si>
    <t>Посещал центр как в первом, так и во втором кварталах</t>
  </si>
  <si>
    <t>Спящий</t>
  </si>
  <si>
    <t>Не посещал центров в последние три месяца, но при этом посещал в первые три месяца</t>
  </si>
  <si>
    <t>Ушедший</t>
  </si>
  <si>
    <t>Не посещал центров в последние шесть месяцев</t>
  </si>
  <si>
    <t>Клиент</t>
  </si>
  <si>
    <t>Статус</t>
  </si>
  <si>
    <t>Клиент 1</t>
  </si>
  <si>
    <t>Клиент 2</t>
  </si>
  <si>
    <t>Клиент 3</t>
  </si>
  <si>
    <t>Клиент 4</t>
  </si>
  <si>
    <t>Клиент 5</t>
  </si>
  <si>
    <t>Клиент 6</t>
  </si>
  <si>
    <t>Клиент 7</t>
  </si>
  <si>
    <t>Клиент 8</t>
  </si>
  <si>
    <t>Клиент 9</t>
  </si>
  <si>
    <t>Клиент 10</t>
  </si>
  <si>
    <t>Клиент 11</t>
  </si>
  <si>
    <t>Клиент 12</t>
  </si>
  <si>
    <t>Клиент 13</t>
  </si>
  <si>
    <t>Клиент 14</t>
  </si>
  <si>
    <t>Клиент 15</t>
  </si>
  <si>
    <t>Клиент 16</t>
  </si>
  <si>
    <t>Клиент 17</t>
  </si>
  <si>
    <t>Клиент 18</t>
  </si>
  <si>
    <t>Клиент 19</t>
  </si>
  <si>
    <t>Клиент 20</t>
  </si>
  <si>
    <t>Клиент 21</t>
  </si>
  <si>
    <t>Клиент 22</t>
  </si>
  <si>
    <t>Клиент 23</t>
  </si>
  <si>
    <t>Клиент 24</t>
  </si>
  <si>
    <t>Клиент 25</t>
  </si>
  <si>
    <t>Клиент 26</t>
  </si>
  <si>
    <t>Клиент 27</t>
  </si>
  <si>
    <t>Клиент 28</t>
  </si>
  <si>
    <t>Клиент 29</t>
  </si>
  <si>
    <t>Клиент 30</t>
  </si>
  <si>
    <t>Клиент 31</t>
  </si>
  <si>
    <t>Клиент 32</t>
  </si>
  <si>
    <t>Клиент 33</t>
  </si>
  <si>
    <t>Клиент 34</t>
  </si>
  <si>
    <t>Клиент 35</t>
  </si>
  <si>
    <t>Клиент 36</t>
  </si>
  <si>
    <t>Клиент 37</t>
  </si>
  <si>
    <t>Клиент 38</t>
  </si>
  <si>
    <t>Клиент 39</t>
  </si>
  <si>
    <t>Клиент 40</t>
  </si>
  <si>
    <t>Клиент 41</t>
  </si>
  <si>
    <t>Клиент 42</t>
  </si>
  <si>
    <t>Клиент 43</t>
  </si>
  <si>
    <t>Клиент 44</t>
  </si>
  <si>
    <t>Клиент 45</t>
  </si>
  <si>
    <t>Клиент 46</t>
  </si>
  <si>
    <t>Клиент 47</t>
  </si>
  <si>
    <t>Клиент 48</t>
  </si>
  <si>
    <t>Клиент 49</t>
  </si>
  <si>
    <t>Клиент 50</t>
  </si>
  <si>
    <t>Клиент 51</t>
  </si>
  <si>
    <t>Клиент 52</t>
  </si>
  <si>
    <t>Клиент 53</t>
  </si>
  <si>
    <t>Клиент 54</t>
  </si>
  <si>
    <t>Клиент 55</t>
  </si>
  <si>
    <t>Клиент 56</t>
  </si>
  <si>
    <t>Клиент 57</t>
  </si>
  <si>
    <t>Клиент 58</t>
  </si>
  <si>
    <t>Клиент 59</t>
  </si>
  <si>
    <t>Клиент 60</t>
  </si>
  <si>
    <t>Клиент 61</t>
  </si>
  <si>
    <t>Клиент 62</t>
  </si>
  <si>
    <t>Клиент 63</t>
  </si>
  <si>
    <t>Клиент 64</t>
  </si>
  <si>
    <t>Клиент 65</t>
  </si>
  <si>
    <t>Клиент 66</t>
  </si>
  <si>
    <t>Клиент 67</t>
  </si>
  <si>
    <t>Клиент 68</t>
  </si>
  <si>
    <t>Клиент 69</t>
  </si>
  <si>
    <t>Клиент 70</t>
  </si>
  <si>
    <t>Клиент 71</t>
  </si>
  <si>
    <t>Клиент 72</t>
  </si>
  <si>
    <t>Клиент 73</t>
  </si>
  <si>
    <t>Клиент 74</t>
  </si>
  <si>
    <t>Клиент 75</t>
  </si>
  <si>
    <t>Клиент 76</t>
  </si>
  <si>
    <t>Клиент 77</t>
  </si>
  <si>
    <t>Клиент 78</t>
  </si>
  <si>
    <t>Клиент 79</t>
  </si>
  <si>
    <t>Клиент 80</t>
  </si>
  <si>
    <t>Клиент 81</t>
  </si>
  <si>
    <t>Клиент 82</t>
  </si>
  <si>
    <t>Клиент 83</t>
  </si>
  <si>
    <t>Клиент 84</t>
  </si>
  <si>
    <t>Клиент 85</t>
  </si>
  <si>
    <t>Клиент 86</t>
  </si>
  <si>
    <t>Клиент 87</t>
  </si>
  <si>
    <t>Клиент 88</t>
  </si>
  <si>
    <t>Клиент 89</t>
  </si>
  <si>
    <t>Клиент 90</t>
  </si>
  <si>
    <t>Клиент 91</t>
  </si>
  <si>
    <t>Клиент 92</t>
  </si>
  <si>
    <t>Клиент 93</t>
  </si>
  <si>
    <t>Клиент 94</t>
  </si>
  <si>
    <t>Клиент 95</t>
  </si>
  <si>
    <t>Клиент 96</t>
  </si>
  <si>
    <t>Клиент 97</t>
  </si>
  <si>
    <t>Клиент 98</t>
  </si>
  <si>
    <t>Клиент 99</t>
  </si>
  <si>
    <t>Клиент 100</t>
  </si>
  <si>
    <t>Клиент 101</t>
  </si>
  <si>
    <t>Клиент 102</t>
  </si>
  <si>
    <t>Клиент 103</t>
  </si>
  <si>
    <t>Клиент 104</t>
  </si>
  <si>
    <t>Клиент 105</t>
  </si>
  <si>
    <t>Клиент 106</t>
  </si>
  <si>
    <t>Клиент 107</t>
  </si>
  <si>
    <t>Клиент 108</t>
  </si>
  <si>
    <t>Клиент 109</t>
  </si>
  <si>
    <t>Клиент 110</t>
  </si>
  <si>
    <t>Клиент 111</t>
  </si>
  <si>
    <t>Клиент 112</t>
  </si>
  <si>
    <t>Клиент 113</t>
  </si>
  <si>
    <t>Клиент 114</t>
  </si>
  <si>
    <t>Клиент 115</t>
  </si>
  <si>
    <t>Клиент 116</t>
  </si>
  <si>
    <t>Клиент 117</t>
  </si>
  <si>
    <t>Клиент 118</t>
  </si>
  <si>
    <t>Клиент 119</t>
  </si>
  <si>
    <t>Клиент 120</t>
  </si>
  <si>
    <t>Клиент 121</t>
  </si>
  <si>
    <t>Клиент 122</t>
  </si>
  <si>
    <t>Клиент 123</t>
  </si>
  <si>
    <t>Клиент 124</t>
  </si>
  <si>
    <t>Клиент 125</t>
  </si>
  <si>
    <t>Клиент 126</t>
  </si>
  <si>
    <t>Клиент 127</t>
  </si>
  <si>
    <t>Клиент 128</t>
  </si>
  <si>
    <t>Клиент 129</t>
  </si>
  <si>
    <t>Клиент 130</t>
  </si>
  <si>
    <t>Клиент 131</t>
  </si>
  <si>
    <t>Клиент 132</t>
  </si>
  <si>
    <t>Клиент 133</t>
  </si>
  <si>
    <t>Клиент 134</t>
  </si>
  <si>
    <t>Клиент 135</t>
  </si>
  <si>
    <t>Клиент 136</t>
  </si>
  <si>
    <t>Клиент 137</t>
  </si>
  <si>
    <t>Клиент 138</t>
  </si>
  <si>
    <t>Клиент 139</t>
  </si>
  <si>
    <t>Клиент 140</t>
  </si>
  <si>
    <t>Клиент 141</t>
  </si>
  <si>
    <t>Клиент 142</t>
  </si>
  <si>
    <t>Клиент 143</t>
  </si>
  <si>
    <t>Клиент 144</t>
  </si>
  <si>
    <t>Клиент 145</t>
  </si>
  <si>
    <t>Клиент 146</t>
  </si>
  <si>
    <t>Клиент 147</t>
  </si>
  <si>
    <t>Клиент 148</t>
  </si>
  <si>
    <t>Клиент 149</t>
  </si>
  <si>
    <t>Клиент 150</t>
  </si>
  <si>
    <t>Клиент 151</t>
  </si>
  <si>
    <t>Клиент 152</t>
  </si>
  <si>
    <t>Клиент 153</t>
  </si>
  <si>
    <t>Клиент 154</t>
  </si>
  <si>
    <t>Клиент 155</t>
  </si>
  <si>
    <t>Клиент 156</t>
  </si>
  <si>
    <t>Клиент 157</t>
  </si>
  <si>
    <t>Клиент 158</t>
  </si>
  <si>
    <t>Клиент 159</t>
  </si>
  <si>
    <t>Клиент 160</t>
  </si>
  <si>
    <t>Клиент 161</t>
  </si>
  <si>
    <t>Клиент 162</t>
  </si>
  <si>
    <t>Клиент 163</t>
  </si>
  <si>
    <t>Клиент 164</t>
  </si>
  <si>
    <t>Клиент 165</t>
  </si>
  <si>
    <t>Клиент 166</t>
  </si>
  <si>
    <t>Клиент 167</t>
  </si>
  <si>
    <t>Клиент 168</t>
  </si>
  <si>
    <t>Клиент 169</t>
  </si>
  <si>
    <t>Клиент 170</t>
  </si>
  <si>
    <t>Клиент 171</t>
  </si>
  <si>
    <t>Клиент 172</t>
  </si>
  <si>
    <t>Клиент 173</t>
  </si>
  <si>
    <t>Клиент 174</t>
  </si>
  <si>
    <t>Клиент 175</t>
  </si>
  <si>
    <t>Клиент 176</t>
  </si>
  <si>
    <t>Клиент 177</t>
  </si>
  <si>
    <t>Клиент 178</t>
  </si>
  <si>
    <t>Клиент 179</t>
  </si>
  <si>
    <t>Клиент 180</t>
  </si>
  <si>
    <t>Клиент 181</t>
  </si>
  <si>
    <t>Клиент 182</t>
  </si>
  <si>
    <t>Клиент 183</t>
  </si>
  <si>
    <t>Клиент 184</t>
  </si>
  <si>
    <t>Клиент 185</t>
  </si>
  <si>
    <t>Клиент 186</t>
  </si>
  <si>
    <t>Клиент 187</t>
  </si>
  <si>
    <t>Клиент 188</t>
  </si>
  <si>
    <t>Клиент 189</t>
  </si>
  <si>
    <t>Клиент 190</t>
  </si>
  <si>
    <t>Клиент 191</t>
  </si>
  <si>
    <t>Клиент 192</t>
  </si>
  <si>
    <t>Клиент 193</t>
  </si>
  <si>
    <t>Клиент 194</t>
  </si>
  <si>
    <t>Клиент 195</t>
  </si>
  <si>
    <t>Клиент 196</t>
  </si>
  <si>
    <t>Клиент 197</t>
  </si>
  <si>
    <t>Клиент 198</t>
  </si>
  <si>
    <t>Клиент 199</t>
  </si>
  <si>
    <t>Клиент 200</t>
  </si>
  <si>
    <t>Клиент 201</t>
  </si>
  <si>
    <t>Клиент 202</t>
  </si>
  <si>
    <t>Клиент 203</t>
  </si>
  <si>
    <t>Клиент 204</t>
  </si>
  <si>
    <t>Клиент 205</t>
  </si>
  <si>
    <t>Клиент 206</t>
  </si>
  <si>
    <t>Клиент 207</t>
  </si>
  <si>
    <t>Клиент 208</t>
  </si>
  <si>
    <t>Клиент 209</t>
  </si>
  <si>
    <t>Клиент 210</t>
  </si>
  <si>
    <t>Клиент 211</t>
  </si>
  <si>
    <t>Клиент 212</t>
  </si>
  <si>
    <t>Клиент 213</t>
  </si>
  <si>
    <t>Клиент 214</t>
  </si>
  <si>
    <t>Клиент 215</t>
  </si>
  <si>
    <t>Клиент 216</t>
  </si>
  <si>
    <t>Клиент 217</t>
  </si>
  <si>
    <t>Клиент 218</t>
  </si>
  <si>
    <t>Клиент 219</t>
  </si>
  <si>
    <t>Клиент 220</t>
  </si>
  <si>
    <t>Клиент 221</t>
  </si>
  <si>
    <t>Клиент 222</t>
  </si>
  <si>
    <t>Клиент 223</t>
  </si>
  <si>
    <t>Клиент 224</t>
  </si>
  <si>
    <t>Клиент 225</t>
  </si>
  <si>
    <t>Клиент 226</t>
  </si>
  <si>
    <t>Клиент 227</t>
  </si>
  <si>
    <t>Клиент 228</t>
  </si>
  <si>
    <t>Клиент 229</t>
  </si>
  <si>
    <t>Клиент 230</t>
  </si>
  <si>
    <t>Клиент 231</t>
  </si>
  <si>
    <t>Клиент 232</t>
  </si>
  <si>
    <t>Клиент 233</t>
  </si>
  <si>
    <t>Клиент 234</t>
  </si>
  <si>
    <t>Клиент 235</t>
  </si>
  <si>
    <t>Клиент 236</t>
  </si>
  <si>
    <t>Клиент 237</t>
  </si>
  <si>
    <t>Клиент 238</t>
  </si>
  <si>
    <t>Клиент 239</t>
  </si>
  <si>
    <t>Клиент 240</t>
  </si>
  <si>
    <t>Клиент 241</t>
  </si>
  <si>
    <t>Клиент 242</t>
  </si>
  <si>
    <t>Клиент 243</t>
  </si>
  <si>
    <t>Клиент 244</t>
  </si>
  <si>
    <t>Клиент 245</t>
  </si>
  <si>
    <t>Клиент 246</t>
  </si>
  <si>
    <t>Клиент 247</t>
  </si>
  <si>
    <t>Клиент 248</t>
  </si>
  <si>
    <t>Клиент 249</t>
  </si>
  <si>
    <t>Клиент 250</t>
  </si>
  <si>
    <t>Клиент 251</t>
  </si>
  <si>
    <t>Клиент 252</t>
  </si>
  <si>
    <t>Клиент 253</t>
  </si>
  <si>
    <t>Клиент 254</t>
  </si>
  <si>
    <t>Клиент 255</t>
  </si>
  <si>
    <t>Клиент 256</t>
  </si>
  <si>
    <t>Клиент 257</t>
  </si>
  <si>
    <t>Клиент 258</t>
  </si>
  <si>
    <t>Клиент 259</t>
  </si>
  <si>
    <t>Клиент 260</t>
  </si>
  <si>
    <t>Клиент 261</t>
  </si>
  <si>
    <t>Клиент 262</t>
  </si>
  <si>
    <t>Клиент 263</t>
  </si>
  <si>
    <t>Клиент 264</t>
  </si>
  <si>
    <t>Клиент 265</t>
  </si>
  <si>
    <t>Клиент 266</t>
  </si>
  <si>
    <t>Клиент 267</t>
  </si>
  <si>
    <t>Клиент 268</t>
  </si>
  <si>
    <t>Клиент 269</t>
  </si>
  <si>
    <t>Клиент 270</t>
  </si>
  <si>
    <t>Клиент 271</t>
  </si>
  <si>
    <t>Клиент 272</t>
  </si>
  <si>
    <t>Клиент 273</t>
  </si>
  <si>
    <t>Клиент 274</t>
  </si>
  <si>
    <t>Клиент 275</t>
  </si>
  <si>
    <t>Клиент 276</t>
  </si>
  <si>
    <t>Клиент 277</t>
  </si>
  <si>
    <t>Клиент 278</t>
  </si>
  <si>
    <t>Клиент 279</t>
  </si>
  <si>
    <t>Клиент 280</t>
  </si>
  <si>
    <t>Клиент 281</t>
  </si>
  <si>
    <t>Клиент 282</t>
  </si>
  <si>
    <t>Клиент 283</t>
  </si>
  <si>
    <t>Клиент 284</t>
  </si>
  <si>
    <t>Клиент 285</t>
  </si>
  <si>
    <t>Клиент 286</t>
  </si>
  <si>
    <t>Клиент 287</t>
  </si>
  <si>
    <t>Клиент 288</t>
  </si>
  <si>
    <t>Клиент 289</t>
  </si>
  <si>
    <t>Клиент 290</t>
  </si>
  <si>
    <t>Клиент 291</t>
  </si>
  <si>
    <t>Клиент 292</t>
  </si>
  <si>
    <t>Клиент 293</t>
  </si>
  <si>
    <t>Клиент 294</t>
  </si>
  <si>
    <t>Клиент 295</t>
  </si>
  <si>
    <t>Клиент 296</t>
  </si>
  <si>
    <t>Клиент 297</t>
  </si>
  <si>
    <t>Клиент 298</t>
  </si>
  <si>
    <t>Клиент 299</t>
  </si>
  <si>
    <t>Клиент 300</t>
  </si>
  <si>
    <t>Клиент 301</t>
  </si>
  <si>
    <t>Клиент 302</t>
  </si>
  <si>
    <t>Клиент 303</t>
  </si>
  <si>
    <t>Клиент 304</t>
  </si>
  <si>
    <t>Клиент 305</t>
  </si>
  <si>
    <t>Клиент 306</t>
  </si>
  <si>
    <t>Клиент 307</t>
  </si>
  <si>
    <t>Клиент 308</t>
  </si>
  <si>
    <t>Клиент 309</t>
  </si>
  <si>
    <t>Клиент 310</t>
  </si>
  <si>
    <t>Клиент 311</t>
  </si>
  <si>
    <t>Клиент 312</t>
  </si>
  <si>
    <t>Клиент 313</t>
  </si>
  <si>
    <t>Клиент 314</t>
  </si>
  <si>
    <t>Клиент 315</t>
  </si>
  <si>
    <t>Клиент 316</t>
  </si>
  <si>
    <t>Клиент 317</t>
  </si>
  <si>
    <t>Клиент 318</t>
  </si>
  <si>
    <t>Клиент 319</t>
  </si>
  <si>
    <t>Клиент 320</t>
  </si>
  <si>
    <t>Клиент 321</t>
  </si>
  <si>
    <t>Клиент 322</t>
  </si>
  <si>
    <t>Клиент 323</t>
  </si>
  <si>
    <t>Клиент 324</t>
  </si>
  <si>
    <t>Клиент 325</t>
  </si>
  <si>
    <t>Клиент 326</t>
  </si>
  <si>
    <t>Клиент 327</t>
  </si>
  <si>
    <t>Клиент 328</t>
  </si>
  <si>
    <t>Клиент 329</t>
  </si>
  <si>
    <t>Клиент 330</t>
  </si>
  <si>
    <t>Клиент 331</t>
  </si>
  <si>
    <t>Клиент 332</t>
  </si>
  <si>
    <t>Клиент 333</t>
  </si>
  <si>
    <t>Клиент 334</t>
  </si>
  <si>
    <t>Клиент 335</t>
  </si>
  <si>
    <t>Клиент 336</t>
  </si>
  <si>
    <t>Клиент 337</t>
  </si>
  <si>
    <t>Клиент 338</t>
  </si>
  <si>
    <t>Клиент 339</t>
  </si>
  <si>
    <t>Клиент 340</t>
  </si>
  <si>
    <t>Клиент 341</t>
  </si>
  <si>
    <t>Клиент 342</t>
  </si>
  <si>
    <t>Клиент 343</t>
  </si>
  <si>
    <t>Клиент 344</t>
  </si>
  <si>
    <t>Клиент 345</t>
  </si>
  <si>
    <t>Клиент 346</t>
  </si>
  <si>
    <t>Клиент 347</t>
  </si>
  <si>
    <t>Клиент 348</t>
  </si>
  <si>
    <t>Клиент 349</t>
  </si>
  <si>
    <t>Клиент 350</t>
  </si>
  <si>
    <t>Клиент 351</t>
  </si>
  <si>
    <t>Клиент 352</t>
  </si>
  <si>
    <t>Клиент 353</t>
  </si>
  <si>
    <t>Клиент 354</t>
  </si>
  <si>
    <t>Клиент 355</t>
  </si>
  <si>
    <t>Клиент 356</t>
  </si>
  <si>
    <t>Клиент 357</t>
  </si>
  <si>
    <t>Клиент 358</t>
  </si>
  <si>
    <t>Клиент 359</t>
  </si>
  <si>
    <t>Клиент 360</t>
  </si>
  <si>
    <t>Клиент 361</t>
  </si>
  <si>
    <t>Клиент 362</t>
  </si>
  <si>
    <t>Клиент 363</t>
  </si>
  <si>
    <t>Клиент 364</t>
  </si>
  <si>
    <t>Клиент 365</t>
  </si>
  <si>
    <t>Клиент 366</t>
  </si>
  <si>
    <t>Клиент 367</t>
  </si>
  <si>
    <t>Клиент 368</t>
  </si>
  <si>
    <t>Клиент 369</t>
  </si>
  <si>
    <t>Клиент 370</t>
  </si>
  <si>
    <t>Клиент 371</t>
  </si>
  <si>
    <t>Клиент 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</si>
</sst>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11"/>
      <color rgb="FF7F7F7F"/>
      <name val="Calibri"/>
    </font>
    <font>
      <sz val="11"/>
      <name val="Calibri"/>
    </font>
    <font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4" fontId="2" fillId="5" borderId="2" xfId="0" applyNumberFormat="1" applyFont="1" applyFill="1" applyBorder="1"/>
    <xf numFmtId="3" fontId="2" fillId="5" borderId="2" xfId="0" applyNumberFormat="1" applyFont="1" applyFill="1" applyBorder="1"/>
    <xf numFmtId="0" fontId="2" fillId="5" borderId="2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3" fontId="2" fillId="3" borderId="1" xfId="0" applyNumberFormat="1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6" borderId="2" xfId="0" applyFont="1" applyFill="1" applyBorder="1"/>
    <xf numFmtId="3" fontId="1" fillId="6" borderId="2" xfId="0" applyNumberFormat="1" applyFont="1" applyFill="1" applyBorder="1"/>
    <xf numFmtId="3" fontId="2" fillId="3" borderId="2" xfId="0" applyNumberFormat="1" applyFont="1" applyFill="1" applyBorder="1"/>
    <xf numFmtId="0" fontId="1" fillId="3" borderId="2" xfId="0" applyFont="1" applyFill="1" applyBorder="1"/>
    <xf numFmtId="0" fontId="6" fillId="3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6" borderId="2" xfId="0" applyFont="1" applyFill="1" applyBorder="1" applyAlignment="1">
      <alignment horizontal="center" vertical="center" wrapText="1"/>
    </xf>
    <xf numFmtId="17" fontId="1" fillId="6" borderId="2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 wrapText="1"/>
    </xf>
    <xf numFmtId="0" fontId="5" fillId="0" borderId="4" xfId="0" applyFont="1" applyBorder="1"/>
    <xf numFmtId="0" fontId="1" fillId="2" borderId="5" xfId="0" applyFont="1" applyFill="1" applyBorder="1" applyAlignment="1">
      <alignment horizontal="left" vertical="center"/>
    </xf>
    <xf numFmtId="0" fontId="5" fillId="0" borderId="6" xfId="0" applyFont="1" applyBorder="1"/>
  </cellXfs>
  <cellStyles count="1">
    <cellStyle name="Обычный" xfId="0" builtinId="0"/>
  </cellStyles>
  <dxfs count="4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selection activeCell="F24" sqref="F24"/>
    </sheetView>
  </sheetViews>
  <sheetFormatPr defaultColWidth="14.44140625" defaultRowHeight="15" customHeight="1" x14ac:dyDescent="0.3"/>
  <cols>
    <col min="1" max="1" width="32.88671875" customWidth="1"/>
    <col min="2" max="2" width="21.88671875" customWidth="1"/>
    <col min="3" max="3" width="12.109375" customWidth="1"/>
    <col min="4" max="4" width="19.21875" bestFit="1" customWidth="1"/>
    <col min="5" max="5" width="12.109375" customWidth="1"/>
    <col min="6" max="6" width="23.5546875" customWidth="1"/>
    <col min="7" max="7" width="11" customWidth="1"/>
    <col min="8" max="8" width="20.33203125" customWidth="1"/>
    <col min="9" max="9" width="14.33203125" customWidth="1"/>
    <col min="10" max="12" width="12.109375" customWidth="1"/>
    <col min="13" max="13" width="10.88671875" customWidth="1"/>
    <col min="14" max="26" width="8.88671875" customWidth="1"/>
  </cols>
  <sheetData>
    <row r="1" spans="1:26" ht="14.4" x14ac:dyDescent="0.3">
      <c r="A1" s="1" t="s">
        <v>0</v>
      </c>
      <c r="B1" s="2"/>
      <c r="C1" s="2"/>
      <c r="D1" s="2"/>
      <c r="F1" s="3"/>
      <c r="G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4"/>
      <c r="B2" s="3"/>
      <c r="C2" s="3"/>
      <c r="D2" s="3"/>
      <c r="F2" s="3"/>
      <c r="G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5" t="s">
        <v>1</v>
      </c>
      <c r="B3" s="5" t="s">
        <v>2</v>
      </c>
      <c r="C3" s="5" t="s">
        <v>3</v>
      </c>
      <c r="D3" s="5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6" t="s">
        <v>5</v>
      </c>
      <c r="B4" s="7">
        <f>VLOOKUP(A4,$B$20:$D$54,2,FALSE)</f>
        <v>427</v>
      </c>
      <c r="C4" s="8">
        <f>VLOOKUP(A4,$B$20:$D$54,3,FALSE)</f>
        <v>3</v>
      </c>
      <c r="D4" s="9" t="str">
        <f>_xlfn.XLOOKUP(A4,$B$20:$B$54,$A$20:$A$54,)</f>
        <v>ДЦ Юго-Западный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6" t="s">
        <v>6</v>
      </c>
      <c r="B5" s="7">
        <f t="shared" ref="B5:B14" si="0">VLOOKUP(A5,$B$20:$D$54,2,FALSE)</f>
        <v>270</v>
      </c>
      <c r="C5" s="8">
        <f t="shared" ref="C5:C14" si="1">VLOOKUP(A5,$B$20:$D$54,3,FALSE)</f>
        <v>2</v>
      </c>
      <c r="D5" s="9" t="str">
        <f t="shared" ref="D5:D14" si="2">_xlfn.XLOOKUP(A5,$B$20:$B$54,$A$20:$A$54,)</f>
        <v>ДЦ Южный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6" t="s">
        <v>7</v>
      </c>
      <c r="B6" s="7">
        <f t="shared" si="0"/>
        <v>1524</v>
      </c>
      <c r="C6" s="8">
        <f t="shared" si="1"/>
        <v>4</v>
      </c>
      <c r="D6" s="9" t="str">
        <f t="shared" si="2"/>
        <v>ДЦ Ржевка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6" t="s">
        <v>8</v>
      </c>
      <c r="B7" s="7">
        <f t="shared" si="0"/>
        <v>3059</v>
      </c>
      <c r="C7" s="8">
        <f t="shared" si="1"/>
        <v>5</v>
      </c>
      <c r="D7" s="9" t="str">
        <f t="shared" si="2"/>
        <v>ДЦ Яхтенный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6" t="s">
        <v>9</v>
      </c>
      <c r="B8" s="7">
        <f t="shared" si="0"/>
        <v>1296</v>
      </c>
      <c r="C8" s="8">
        <f t="shared" si="1"/>
        <v>3</v>
      </c>
      <c r="D8" s="9" t="str">
        <f t="shared" si="2"/>
        <v>ДЦ Озерки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6" t="s">
        <v>10</v>
      </c>
      <c r="B9" s="7">
        <f>VLOOKUP(A9,$B$20:$D$54,2,FALSE)</f>
        <v>680</v>
      </c>
      <c r="C9" s="8">
        <f t="shared" si="1"/>
        <v>5</v>
      </c>
      <c r="D9" s="9" t="str">
        <f t="shared" si="2"/>
        <v>ДЦ Московский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6" t="s">
        <v>11</v>
      </c>
      <c r="B10" s="7">
        <f t="shared" si="0"/>
        <v>565</v>
      </c>
      <c r="C10" s="8">
        <f t="shared" si="1"/>
        <v>2</v>
      </c>
      <c r="D10" s="9" t="str">
        <f t="shared" si="2"/>
        <v>ДЦ Купчино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6" t="s">
        <v>12</v>
      </c>
      <c r="B11" s="7">
        <f t="shared" si="0"/>
        <v>565</v>
      </c>
      <c r="C11" s="8">
        <f t="shared" si="1"/>
        <v>3</v>
      </c>
      <c r="D11" s="9" t="str">
        <f t="shared" si="2"/>
        <v>ДЦ Сосногорский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6" t="s">
        <v>13</v>
      </c>
      <c r="B12" s="7">
        <f t="shared" si="0"/>
        <v>472</v>
      </c>
      <c r="C12" s="8">
        <f t="shared" si="1"/>
        <v>3</v>
      </c>
      <c r="D12" s="9" t="str">
        <f t="shared" si="2"/>
        <v>ДЦ Международный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6" t="s">
        <v>14</v>
      </c>
      <c r="B13" s="7">
        <f t="shared" si="0"/>
        <v>398</v>
      </c>
      <c r="C13" s="8">
        <f t="shared" si="1"/>
        <v>2</v>
      </c>
      <c r="D13" s="9" t="str">
        <f t="shared" si="2"/>
        <v>ЛП на Избирателей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6" t="s">
        <v>15</v>
      </c>
      <c r="B14" s="7">
        <f t="shared" si="0"/>
        <v>2699</v>
      </c>
      <c r="C14" s="8">
        <f t="shared" si="1"/>
        <v>3</v>
      </c>
      <c r="D14" s="9" t="str">
        <f t="shared" si="2"/>
        <v>ДЦ Юго-Западный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 x14ac:dyDescent="0.3">
      <c r="A17" s="10" t="s">
        <v>16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0.5" customHeight="1" x14ac:dyDescent="0.3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1.5" customHeight="1" x14ac:dyDescent="0.3">
      <c r="A19" s="11" t="s">
        <v>4</v>
      </c>
      <c r="B19" s="11" t="s">
        <v>1</v>
      </c>
      <c r="C19" s="11" t="s">
        <v>17</v>
      </c>
      <c r="D19" s="11" t="s">
        <v>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3">
      <c r="A20" s="13" t="s">
        <v>18</v>
      </c>
      <c r="B20" s="6" t="s">
        <v>19</v>
      </c>
      <c r="C20" s="6">
        <v>2968</v>
      </c>
      <c r="D20" s="14">
        <v>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13" t="s">
        <v>20</v>
      </c>
      <c r="B21" s="6" t="s">
        <v>21</v>
      </c>
      <c r="C21" s="6">
        <v>1496</v>
      </c>
      <c r="D21" s="14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13" t="s">
        <v>22</v>
      </c>
      <c r="B22" s="6" t="s">
        <v>23</v>
      </c>
      <c r="C22" s="6">
        <v>2845</v>
      </c>
      <c r="D22" s="14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13" t="s">
        <v>24</v>
      </c>
      <c r="B23" s="6" t="s">
        <v>25</v>
      </c>
      <c r="C23" s="6">
        <v>3368</v>
      </c>
      <c r="D23" s="14">
        <v>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13" t="s">
        <v>26</v>
      </c>
      <c r="B24" s="6" t="s">
        <v>27</v>
      </c>
      <c r="C24" s="6">
        <v>1490</v>
      </c>
      <c r="D24" s="14">
        <v>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13" t="s">
        <v>28</v>
      </c>
      <c r="B25" s="6" t="s">
        <v>29</v>
      </c>
      <c r="C25" s="6">
        <v>1430</v>
      </c>
      <c r="D25" s="14">
        <v>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13" t="s">
        <v>30</v>
      </c>
      <c r="B26" s="6" t="s">
        <v>7</v>
      </c>
      <c r="C26" s="6">
        <v>1524</v>
      </c>
      <c r="D26" s="14">
        <v>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13" t="s">
        <v>31</v>
      </c>
      <c r="B27" s="6" t="s">
        <v>32</v>
      </c>
      <c r="C27" s="6">
        <v>3776</v>
      </c>
      <c r="D27" s="14">
        <v>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13" t="s">
        <v>18</v>
      </c>
      <c r="B28" s="6" t="s">
        <v>9</v>
      </c>
      <c r="C28" s="6">
        <v>1296</v>
      </c>
      <c r="D28" s="14">
        <v>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13" t="s">
        <v>33</v>
      </c>
      <c r="B29" s="6" t="s">
        <v>34</v>
      </c>
      <c r="C29" s="6">
        <v>1243</v>
      </c>
      <c r="D29" s="14">
        <v>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13" t="s">
        <v>30</v>
      </c>
      <c r="B30" s="6" t="s">
        <v>35</v>
      </c>
      <c r="C30" s="6">
        <v>420</v>
      </c>
      <c r="D30" s="14">
        <v>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13" t="s">
        <v>36</v>
      </c>
      <c r="B31" s="6" t="s">
        <v>13</v>
      </c>
      <c r="C31" s="6">
        <v>472</v>
      </c>
      <c r="D31" s="14">
        <v>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13" t="s">
        <v>37</v>
      </c>
      <c r="B32" s="6" t="s">
        <v>38</v>
      </c>
      <c r="C32" s="6">
        <v>1973</v>
      </c>
      <c r="D32" s="14">
        <v>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13" t="s">
        <v>39</v>
      </c>
      <c r="B33" s="6" t="s">
        <v>40</v>
      </c>
      <c r="C33" s="6">
        <v>243</v>
      </c>
      <c r="D33" s="14">
        <v>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13" t="s">
        <v>41</v>
      </c>
      <c r="B34" s="6" t="s">
        <v>42</v>
      </c>
      <c r="C34" s="6">
        <v>549</v>
      </c>
      <c r="D34" s="14">
        <v>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13" t="s">
        <v>43</v>
      </c>
      <c r="B35" s="6" t="s">
        <v>44</v>
      </c>
      <c r="C35" s="6">
        <v>1975</v>
      </c>
      <c r="D35" s="14">
        <v>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3" t="s">
        <v>45</v>
      </c>
      <c r="B36" s="6" t="s">
        <v>11</v>
      </c>
      <c r="C36" s="6">
        <v>565</v>
      </c>
      <c r="D36" s="14">
        <v>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13" t="s">
        <v>46</v>
      </c>
      <c r="B37" s="6" t="s">
        <v>12</v>
      </c>
      <c r="C37" s="6">
        <v>565</v>
      </c>
      <c r="D37" s="14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13" t="s">
        <v>47</v>
      </c>
      <c r="B38" s="6" t="s">
        <v>48</v>
      </c>
      <c r="C38" s="6">
        <v>270</v>
      </c>
      <c r="D38" s="14">
        <v>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13" t="s">
        <v>49</v>
      </c>
      <c r="B39" s="6" t="s">
        <v>8</v>
      </c>
      <c r="C39" s="6">
        <v>3059</v>
      </c>
      <c r="D39" s="14">
        <v>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13" t="s">
        <v>50</v>
      </c>
      <c r="B40" s="6" t="s">
        <v>51</v>
      </c>
      <c r="C40" s="6">
        <v>565</v>
      </c>
      <c r="D40" s="14">
        <v>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13" t="s">
        <v>52</v>
      </c>
      <c r="B41" s="6" t="s">
        <v>53</v>
      </c>
      <c r="C41" s="6">
        <v>4655</v>
      </c>
      <c r="D41" s="14">
        <v>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13" t="s">
        <v>54</v>
      </c>
      <c r="B42" s="6" t="s">
        <v>55</v>
      </c>
      <c r="C42" s="6">
        <v>1121</v>
      </c>
      <c r="D42" s="14">
        <v>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13" t="s">
        <v>56</v>
      </c>
      <c r="B43" s="6" t="s">
        <v>57</v>
      </c>
      <c r="C43" s="6">
        <v>386</v>
      </c>
      <c r="D43" s="14">
        <v>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13" t="s">
        <v>58</v>
      </c>
      <c r="B44" s="6" t="s">
        <v>10</v>
      </c>
      <c r="C44" s="6">
        <v>680</v>
      </c>
      <c r="D44" s="14">
        <v>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13" t="s">
        <v>59</v>
      </c>
      <c r="B45" s="6" t="s">
        <v>14</v>
      </c>
      <c r="C45" s="6">
        <v>398</v>
      </c>
      <c r="D45" s="14">
        <v>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13" t="s">
        <v>60</v>
      </c>
      <c r="B46" s="6" t="s">
        <v>5</v>
      </c>
      <c r="C46" s="6">
        <v>427</v>
      </c>
      <c r="D46" s="14">
        <v>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13" t="s">
        <v>61</v>
      </c>
      <c r="B47" s="6" t="s">
        <v>62</v>
      </c>
      <c r="C47" s="6">
        <v>262</v>
      </c>
      <c r="D47" s="14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13" t="s">
        <v>41</v>
      </c>
      <c r="B48" s="6" t="s">
        <v>6</v>
      </c>
      <c r="C48" s="6">
        <v>270</v>
      </c>
      <c r="D48" s="14">
        <v>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13" t="s">
        <v>58</v>
      </c>
      <c r="B49" s="6" t="s">
        <v>63</v>
      </c>
      <c r="C49" s="6">
        <v>270</v>
      </c>
      <c r="D49" s="14">
        <v>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13" t="s">
        <v>64</v>
      </c>
      <c r="B50" s="6" t="s">
        <v>65</v>
      </c>
      <c r="C50" s="6">
        <v>456</v>
      </c>
      <c r="D50" s="14">
        <v>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13" t="s">
        <v>30</v>
      </c>
      <c r="B51" s="6" t="s">
        <v>66</v>
      </c>
      <c r="C51" s="6">
        <v>262</v>
      </c>
      <c r="D51" s="14">
        <v>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13" t="s">
        <v>30</v>
      </c>
      <c r="B52" s="6" t="s">
        <v>67</v>
      </c>
      <c r="C52" s="6">
        <v>3292</v>
      </c>
      <c r="D52" s="14">
        <v>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13" t="s">
        <v>68</v>
      </c>
      <c r="B53" s="6" t="s">
        <v>69</v>
      </c>
      <c r="C53" s="6">
        <v>2185</v>
      </c>
      <c r="D53" s="14">
        <v>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13" t="s">
        <v>60</v>
      </c>
      <c r="B54" s="6" t="s">
        <v>15</v>
      </c>
      <c r="C54" s="6">
        <v>2699</v>
      </c>
      <c r="D54" s="14">
        <v>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76" workbookViewId="0">
      <selection activeCell="D15" sqref="D15"/>
    </sheetView>
  </sheetViews>
  <sheetFormatPr defaultColWidth="14.44140625" defaultRowHeight="15" customHeight="1" x14ac:dyDescent="0.3"/>
  <cols>
    <col min="1" max="1" width="63.44140625" customWidth="1"/>
    <col min="2" max="2" width="18.44140625" customWidth="1"/>
    <col min="3" max="3" width="26.44140625" customWidth="1"/>
    <col min="4" max="4" width="8.88671875" customWidth="1"/>
    <col min="5" max="5" width="30.44140625" customWidth="1"/>
    <col min="6" max="6" width="48.33203125" customWidth="1"/>
    <col min="7" max="10" width="8.88671875" customWidth="1"/>
    <col min="11" max="11" width="26.6640625" customWidth="1"/>
    <col min="12" max="12" width="24.44140625" customWidth="1"/>
    <col min="13" max="26" width="8.88671875" customWidth="1"/>
  </cols>
  <sheetData>
    <row r="1" spans="1:26" ht="16.5" customHeight="1" x14ac:dyDescent="0.3">
      <c r="A1" s="15" t="s">
        <v>0</v>
      </c>
      <c r="B1" s="2"/>
      <c r="C1" s="2"/>
      <c r="D1" s="3"/>
      <c r="E1" s="3"/>
      <c r="F1" s="3"/>
      <c r="G1" s="3"/>
      <c r="H1" s="3"/>
      <c r="I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3"/>
      <c r="B2" s="3"/>
      <c r="C2" s="3"/>
      <c r="D2" s="3"/>
      <c r="E2" s="3"/>
      <c r="F2" s="3"/>
      <c r="G2" s="3"/>
      <c r="H2" s="3"/>
      <c r="I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3.2" x14ac:dyDescent="0.3">
      <c r="A4" s="5" t="s">
        <v>4</v>
      </c>
      <c r="B4" s="5" t="s">
        <v>70</v>
      </c>
      <c r="C4" s="5" t="s">
        <v>71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6" t="s">
        <v>37</v>
      </c>
      <c r="B5" s="9">
        <f>COUNTIF($A$21:$A$239,A5)</f>
        <v>22</v>
      </c>
      <c r="C5" s="9">
        <f>RANK(B5,_xlfn.ANCHORARRAY($D$5))</f>
        <v>1</v>
      </c>
      <c r="D5" s="3" cm="1">
        <f t="array" ref="D5:D10">_xlfn.UNIQUE(B5:B17)</f>
        <v>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6" t="s">
        <v>72</v>
      </c>
      <c r="B6" s="9">
        <f t="shared" ref="B6:B17" si="0">COUNTIF($A$21:$A$239,A6)</f>
        <v>15</v>
      </c>
      <c r="C6" s="9">
        <f t="shared" ref="C6:C17" si="1">RANK(B6,_xlfn.ANCHORARRAY($D$5))</f>
        <v>2</v>
      </c>
      <c r="D6" s="3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6" t="s">
        <v>73</v>
      </c>
      <c r="B7" s="9">
        <f t="shared" si="0"/>
        <v>8</v>
      </c>
      <c r="C7" s="9">
        <f t="shared" si="1"/>
        <v>3</v>
      </c>
      <c r="D7" s="3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6" t="s">
        <v>74</v>
      </c>
      <c r="B8" s="9">
        <f t="shared" si="0"/>
        <v>6</v>
      </c>
      <c r="C8" s="9">
        <f t="shared" si="1"/>
        <v>4</v>
      </c>
      <c r="D8" s="3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6" t="s">
        <v>33</v>
      </c>
      <c r="B9" s="9">
        <f t="shared" si="0"/>
        <v>6</v>
      </c>
      <c r="C9" s="9">
        <f t="shared" si="1"/>
        <v>4</v>
      </c>
      <c r="D9" s="3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6" t="s">
        <v>18</v>
      </c>
      <c r="B10" s="9">
        <f t="shared" si="0"/>
        <v>5</v>
      </c>
      <c r="C10" s="9">
        <f t="shared" si="1"/>
        <v>5</v>
      </c>
      <c r="D10" s="3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6" t="s">
        <v>64</v>
      </c>
      <c r="B11" s="9">
        <f t="shared" si="0"/>
        <v>5</v>
      </c>
      <c r="C11" s="9">
        <f t="shared" si="1"/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6" t="s">
        <v>75</v>
      </c>
      <c r="B12" s="9">
        <f t="shared" si="0"/>
        <v>5</v>
      </c>
      <c r="C12" s="9">
        <f t="shared" si="1"/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6" t="s">
        <v>76</v>
      </c>
      <c r="B13" s="9">
        <f t="shared" si="0"/>
        <v>5</v>
      </c>
      <c r="C13" s="9">
        <f t="shared" si="1"/>
        <v>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6" t="s">
        <v>77</v>
      </c>
      <c r="B14" s="9">
        <f t="shared" si="0"/>
        <v>5</v>
      </c>
      <c r="C14" s="9">
        <f t="shared" si="1"/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6" t="s">
        <v>39</v>
      </c>
      <c r="B15" s="9">
        <f t="shared" si="0"/>
        <v>4</v>
      </c>
      <c r="C15" s="9">
        <f t="shared" si="1"/>
        <v>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6" t="s">
        <v>78</v>
      </c>
      <c r="B16" s="9">
        <f t="shared" si="0"/>
        <v>4</v>
      </c>
      <c r="C16" s="9">
        <f t="shared" si="1"/>
        <v>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6" t="s">
        <v>79</v>
      </c>
      <c r="B17" s="9">
        <f t="shared" si="0"/>
        <v>4</v>
      </c>
      <c r="C17" s="9">
        <f t="shared" si="1"/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 x14ac:dyDescent="0.3">
      <c r="A20" s="16" t="s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" t="s">
        <v>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6" t="s">
        <v>72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6" t="s">
        <v>30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6" t="s">
        <v>80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6" t="s">
        <v>81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6" t="s">
        <v>54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6" t="s">
        <v>72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6" t="s">
        <v>82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6" t="s">
        <v>37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6" t="s">
        <v>83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" t="s">
        <v>84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6" t="s">
        <v>85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6" t="s">
        <v>72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6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6" t="s">
        <v>37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6" t="s">
        <v>79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6" t="s">
        <v>73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6" t="s">
        <v>77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6" t="s">
        <v>26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6" t="s">
        <v>86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6" t="s">
        <v>18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6" t="s">
        <v>74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6" t="s">
        <v>87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6" t="s">
        <v>88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6" t="s">
        <v>78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6" t="s">
        <v>64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6" t="s">
        <v>89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6" t="s">
        <v>37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6" t="s">
        <v>74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6" t="s">
        <v>39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6" t="s">
        <v>72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6" t="s">
        <v>90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6" t="s">
        <v>91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6" t="s">
        <v>92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6" t="s">
        <v>41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6" t="s">
        <v>72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6" t="s">
        <v>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6" t="s">
        <v>37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6" t="s">
        <v>78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6" t="s">
        <v>93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6" t="s">
        <v>94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6" t="s">
        <v>52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6" t="s">
        <v>74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6" t="s">
        <v>37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6" t="s">
        <v>74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6" t="s">
        <v>95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6" t="s">
        <v>18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6" t="s">
        <v>89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6" t="s">
        <v>33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6" t="s">
        <v>96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6" t="s">
        <v>97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6" t="s">
        <v>98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6" t="s">
        <v>84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6" t="s">
        <v>95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6" t="s">
        <v>99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6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6" t="s">
        <v>73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6" t="s">
        <v>98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6" t="s">
        <v>61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6" t="s">
        <v>100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6" t="s">
        <v>101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6" t="s">
        <v>18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6" t="s">
        <v>78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6" t="s">
        <v>74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6" t="s">
        <v>36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6" t="s">
        <v>37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6" t="s">
        <v>102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6" t="s">
        <v>103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6" t="s">
        <v>37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6" t="s">
        <v>104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6" t="s">
        <v>92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6" t="s">
        <v>72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6" t="s">
        <v>33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6" t="s">
        <v>105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6" t="s">
        <v>81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6" t="s">
        <v>76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6" t="s">
        <v>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6" t="s">
        <v>106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6" t="s">
        <v>72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6" t="s">
        <v>28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6" t="s">
        <v>36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6" t="s">
        <v>93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6" t="s">
        <v>90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6" t="s">
        <v>107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6" t="s">
        <v>22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6" t="s">
        <v>50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6" t="s">
        <v>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6" t="s">
        <v>28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6" t="s">
        <v>24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6" t="s">
        <v>76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6" t="s">
        <v>91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6" t="s">
        <v>108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6" t="s">
        <v>109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6" t="s">
        <v>76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6" t="s">
        <v>97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6" t="s">
        <v>37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6" t="s">
        <v>79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6" t="s">
        <v>90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6" t="s">
        <v>60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6" t="s">
        <v>59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6" t="s">
        <v>28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6" t="s">
        <v>108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6" t="s">
        <v>64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6" t="s">
        <v>72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6" t="s">
        <v>72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6" t="s">
        <v>110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6" t="s">
        <v>73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6" t="s">
        <v>111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6" t="s">
        <v>77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6" t="s">
        <v>86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6" t="s">
        <v>112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6" t="s">
        <v>113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6" t="s">
        <v>108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6" t="s">
        <v>114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6" t="s">
        <v>37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6" t="s">
        <v>115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6" t="s">
        <v>54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6" t="s">
        <v>116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6" t="s">
        <v>37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6" t="s">
        <v>73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6" t="s">
        <v>24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6" t="s">
        <v>77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6" t="s">
        <v>88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6" t="s">
        <v>117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6" t="s">
        <v>118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6" t="s">
        <v>81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6" t="s">
        <v>72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6" t="s">
        <v>47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6" t="s">
        <v>37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6" t="s">
        <v>115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6" t="s">
        <v>114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6" t="s">
        <v>37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6" t="s">
        <v>119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6" t="s">
        <v>73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6" t="s">
        <v>60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6" t="s">
        <v>39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6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6" t="s">
        <v>54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6" t="s">
        <v>28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6" t="s">
        <v>106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6" t="s">
        <v>37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6" t="s">
        <v>89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6" t="s">
        <v>121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6" t="s">
        <v>39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6" t="s">
        <v>49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6" t="s">
        <v>104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6" t="s">
        <v>99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6" t="s">
        <v>37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6" t="s">
        <v>114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6" t="s">
        <v>92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6" t="s">
        <v>73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6" t="s">
        <v>73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6" t="s">
        <v>72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6" t="s">
        <v>47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6" t="s">
        <v>33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6" t="s">
        <v>122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6" t="s">
        <v>87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6" t="s">
        <v>81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6" t="s">
        <v>97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6" t="s">
        <v>97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6" t="s">
        <v>75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6" t="s">
        <v>37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6" t="s">
        <v>64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6" t="s">
        <v>72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6" t="s">
        <v>79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6" t="s">
        <v>37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6" t="s">
        <v>72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6" t="s">
        <v>107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6" t="s">
        <v>72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6" t="s">
        <v>109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6" t="s">
        <v>78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6" t="s">
        <v>76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6" t="s">
        <v>33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6" t="s">
        <v>41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6" t="s">
        <v>30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6" t="s">
        <v>123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6" t="s">
        <v>33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6" t="s">
        <v>121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6" t="s">
        <v>124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6" t="s">
        <v>33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6" t="s">
        <v>115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6" t="s">
        <v>75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6" t="s">
        <v>75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6" t="s">
        <v>125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6" t="s">
        <v>121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6" t="s">
        <v>126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6" t="s">
        <v>100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6" t="s">
        <v>37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6" t="s">
        <v>36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6" t="s">
        <v>79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6" t="s">
        <v>76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6" t="s">
        <v>74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6" t="s">
        <v>117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6" t="s">
        <v>77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6" t="s">
        <v>127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6" t="s">
        <v>18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6" t="s">
        <v>64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6" t="s">
        <v>75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6" t="s">
        <v>105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6" t="s">
        <v>37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6" t="s">
        <v>128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6" t="s">
        <v>124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6" t="s">
        <v>50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6" t="s">
        <v>36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6" t="s">
        <v>73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6" t="s">
        <v>22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6" t="s">
        <v>26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6" t="s">
        <v>95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6" t="s">
        <v>129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6" t="s">
        <v>93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6" t="s">
        <v>130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6" t="s">
        <v>85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6" t="s">
        <v>89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6" t="s">
        <v>18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6" t="s">
        <v>37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6" t="s">
        <v>64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6" t="s">
        <v>72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6" t="s">
        <v>37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6" t="s">
        <v>104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B13" sqref="B13"/>
    </sheetView>
  </sheetViews>
  <sheetFormatPr defaultColWidth="14.44140625" defaultRowHeight="15" customHeight="1" x14ac:dyDescent="0.3"/>
  <cols>
    <col min="1" max="1" width="49.109375" customWidth="1"/>
    <col min="2" max="2" width="13.88671875" customWidth="1"/>
    <col min="3" max="3" width="33.6640625" customWidth="1"/>
    <col min="4" max="4" width="8.88671875" customWidth="1"/>
    <col min="5" max="5" width="36" customWidth="1"/>
    <col min="6" max="6" width="38.109375" customWidth="1"/>
    <col min="7" max="7" width="26.109375" customWidth="1"/>
    <col min="8" max="8" width="9.88671875" bestFit="1" customWidth="1"/>
    <col min="9" max="26" width="8.88671875" customWidth="1"/>
  </cols>
  <sheetData>
    <row r="1" spans="1:26" ht="16.5" customHeight="1" x14ac:dyDescent="0.3">
      <c r="A1" s="16" t="s">
        <v>0</v>
      </c>
      <c r="B1" s="2"/>
      <c r="C1" s="2"/>
      <c r="D1" s="3"/>
      <c r="E1" s="3"/>
      <c r="F1" s="3"/>
      <c r="G1" s="3"/>
      <c r="H1" s="3"/>
      <c r="I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3"/>
      <c r="B2" s="17"/>
      <c r="C2" s="3"/>
      <c r="D2" s="3"/>
      <c r="E2" s="3"/>
      <c r="F2" s="3"/>
      <c r="G2" s="3"/>
      <c r="H2" s="3"/>
      <c r="I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3"/>
      <c r="B3" s="17"/>
      <c r="C3" s="3"/>
      <c r="D3" s="3"/>
      <c r="E3" s="3"/>
      <c r="F3" s="3"/>
      <c r="G3" s="3"/>
      <c r="H3" s="3"/>
      <c r="I3" s="3"/>
      <c r="J3" s="18"/>
      <c r="K3" s="18"/>
      <c r="L3" s="18"/>
      <c r="M3" s="18"/>
      <c r="N3" s="1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20" t="s">
        <v>131</v>
      </c>
      <c r="B4" s="21" t="s">
        <v>132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6" t="s">
        <v>133</v>
      </c>
      <c r="B5" s="8">
        <f>SUMIF($G$17:$G$73,A5,$H$17:$H$73)</f>
        <v>38119763.749467835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22" t="s">
        <v>134</v>
      </c>
      <c r="B6" s="8">
        <f t="shared" ref="B6:B12" si="0">SUMIF($G$17:$G$73,A6,$H$17:$H$73)</f>
        <v>13441846.61944361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6" t="s">
        <v>135</v>
      </c>
      <c r="B7" s="8">
        <f t="shared" si="0"/>
        <v>42323333.622064382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6" t="s">
        <v>136</v>
      </c>
      <c r="B8" s="8">
        <f t="shared" si="0"/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6" t="s">
        <v>137</v>
      </c>
      <c r="B9" s="8">
        <f t="shared" si="0"/>
        <v>11279443.331532657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6" t="s">
        <v>138</v>
      </c>
      <c r="B10" s="8">
        <f t="shared" si="0"/>
        <v>6275882.8313094778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6" t="s">
        <v>139</v>
      </c>
      <c r="B11" s="8">
        <f t="shared" si="0"/>
        <v>21473719.019200742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3">
      <c r="A12" s="22" t="s">
        <v>140</v>
      </c>
      <c r="B12" s="8">
        <f>SUM(B5:B11)</f>
        <v>132913989.17301871</v>
      </c>
      <c r="C12" s="3"/>
      <c r="D12" s="17"/>
      <c r="E12" s="3"/>
      <c r="F12" s="17"/>
      <c r="G12" s="17"/>
      <c r="H12" s="17"/>
      <c r="I12" s="17"/>
      <c r="J12" s="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4" x14ac:dyDescent="0.3">
      <c r="A13" s="3"/>
      <c r="B13" s="1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 x14ac:dyDescent="0.3">
      <c r="A14" s="16" t="s">
        <v>16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3"/>
      <c r="B15" s="1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20" t="s">
        <v>141</v>
      </c>
      <c r="B16" s="21" t="s">
        <v>142</v>
      </c>
      <c r="C16" s="3"/>
      <c r="D16" s="3"/>
      <c r="E16" s="20" t="s">
        <v>141</v>
      </c>
      <c r="F16" s="20" t="s">
        <v>131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20" t="s">
        <v>140</v>
      </c>
      <c r="B17" s="21">
        <f>SUM(B18:B74)</f>
        <v>132913989.17301869</v>
      </c>
      <c r="C17" s="3"/>
      <c r="D17" s="3"/>
      <c r="E17" s="6" t="s">
        <v>143</v>
      </c>
      <c r="F17" s="6" t="s">
        <v>144</v>
      </c>
      <c r="G17" s="3" t="str">
        <f>LEFT(F17,FIND(" ",F17)-1)</f>
        <v>Приволжский</v>
      </c>
      <c r="H17" s="17">
        <f>VLOOKUP(E17,$A$18:$B$74,2,FALSE)</f>
        <v>13685.299893366668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6" t="s">
        <v>145</v>
      </c>
      <c r="B18" s="22">
        <v>1330115.3525359863</v>
      </c>
      <c r="C18" s="3"/>
      <c r="D18" s="3"/>
      <c r="E18" s="6" t="s">
        <v>146</v>
      </c>
      <c r="F18" s="6" t="s">
        <v>144</v>
      </c>
      <c r="G18" s="3" t="str">
        <f t="shared" ref="G18:G73" si="1">LEFT(F18,FIND(" ",F18)-1)</f>
        <v>Приволжский</v>
      </c>
      <c r="H18" s="17">
        <f t="shared" ref="H18:H73" si="2">VLOOKUP(E18,$A$18:$B$74,2,FALSE)</f>
        <v>1105996.6703022779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6" t="s">
        <v>147</v>
      </c>
      <c r="B19" s="22">
        <v>777437.25340235233</v>
      </c>
      <c r="C19" s="3"/>
      <c r="D19" s="3"/>
      <c r="E19" s="6" t="s">
        <v>148</v>
      </c>
      <c r="F19" s="6" t="s">
        <v>144</v>
      </c>
      <c r="G19" s="3" t="str">
        <f t="shared" si="1"/>
        <v>Приволжский</v>
      </c>
      <c r="H19" s="17">
        <f t="shared" si="2"/>
        <v>206429.0635915428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6" t="s">
        <v>149</v>
      </c>
      <c r="B20" s="22">
        <v>1026104.6265847819</v>
      </c>
      <c r="C20" s="3"/>
      <c r="D20" s="3"/>
      <c r="E20" s="6" t="s">
        <v>150</v>
      </c>
      <c r="F20" s="6" t="s">
        <v>144</v>
      </c>
      <c r="G20" s="3" t="str">
        <f t="shared" si="1"/>
        <v>Приволжский</v>
      </c>
      <c r="H20" s="17">
        <f t="shared" si="2"/>
        <v>2499435.273974861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6" t="s">
        <v>151</v>
      </c>
      <c r="B21" s="22">
        <v>294729.35556352319</v>
      </c>
      <c r="C21" s="3"/>
      <c r="D21" s="3"/>
      <c r="E21" s="6" t="s">
        <v>152</v>
      </c>
      <c r="F21" s="6" t="s">
        <v>144</v>
      </c>
      <c r="G21" s="3" t="str">
        <f t="shared" si="1"/>
        <v>Приволжский</v>
      </c>
      <c r="H21" s="17">
        <f t="shared" si="2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6" t="s">
        <v>153</v>
      </c>
      <c r="B22" s="22">
        <v>2100198.1257756436</v>
      </c>
      <c r="C22" s="3"/>
      <c r="D22" s="3"/>
      <c r="E22" s="6" t="s">
        <v>154</v>
      </c>
      <c r="F22" s="6" t="s">
        <v>144</v>
      </c>
      <c r="G22" s="3" t="str">
        <f t="shared" si="1"/>
        <v>Приволжский</v>
      </c>
      <c r="H22" s="17">
        <f t="shared" si="2"/>
        <v>1324742.5037978508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6" t="s">
        <v>155</v>
      </c>
      <c r="B23" s="22">
        <v>1708583.689617031</v>
      </c>
      <c r="C23" s="3"/>
      <c r="D23" s="3"/>
      <c r="E23" s="6" t="s">
        <v>156</v>
      </c>
      <c r="F23" s="6" t="s">
        <v>144</v>
      </c>
      <c r="G23" s="3" t="str">
        <f t="shared" si="1"/>
        <v>Приволжский</v>
      </c>
      <c r="H23" s="17">
        <f t="shared" si="2"/>
        <v>49083.696597548886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6" t="s">
        <v>157</v>
      </c>
      <c r="B24" s="22">
        <v>2729167.6662248289</v>
      </c>
      <c r="C24" s="3"/>
      <c r="D24" s="3"/>
      <c r="E24" s="6" t="s">
        <v>158</v>
      </c>
      <c r="F24" s="6" t="s">
        <v>144</v>
      </c>
      <c r="G24" s="3" t="str">
        <f t="shared" si="1"/>
        <v>Приволжский</v>
      </c>
      <c r="H24" s="17">
        <f t="shared" si="2"/>
        <v>1310736.9678869792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6" t="s">
        <v>159</v>
      </c>
      <c r="B25" s="22">
        <v>1058388.2490332338</v>
      </c>
      <c r="C25" s="3"/>
      <c r="D25" s="3"/>
      <c r="E25" s="6" t="s">
        <v>160</v>
      </c>
      <c r="F25" s="6" t="s">
        <v>144</v>
      </c>
      <c r="G25" s="3" t="str">
        <f t="shared" si="1"/>
        <v>Приволжский</v>
      </c>
      <c r="H25" s="17">
        <f t="shared" si="2"/>
        <v>1007016.3702935141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6" t="s">
        <v>161</v>
      </c>
      <c r="B26" s="22">
        <v>138470.60138106262</v>
      </c>
      <c r="C26" s="3"/>
      <c r="D26" s="3"/>
      <c r="E26" s="6" t="s">
        <v>162</v>
      </c>
      <c r="F26" s="6" t="s">
        <v>144</v>
      </c>
      <c r="G26" s="3" t="str">
        <f t="shared" si="1"/>
        <v>Приволжский</v>
      </c>
      <c r="H26" s="17">
        <f t="shared" si="2"/>
        <v>158920.54501172042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6" t="s">
        <v>163</v>
      </c>
      <c r="B27" s="22">
        <v>0</v>
      </c>
      <c r="C27" s="3"/>
      <c r="D27" s="3"/>
      <c r="E27" s="6" t="s">
        <v>164</v>
      </c>
      <c r="F27" s="6" t="s">
        <v>144</v>
      </c>
      <c r="G27" s="3" t="str">
        <f t="shared" si="1"/>
        <v>Приволжский</v>
      </c>
      <c r="H27" s="17">
        <f t="shared" si="2"/>
        <v>988650.69783661608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6" t="s">
        <v>165</v>
      </c>
      <c r="B28" s="22">
        <v>2198751.4444277342</v>
      </c>
      <c r="C28" s="3"/>
      <c r="D28" s="3"/>
      <c r="E28" s="6" t="s">
        <v>166</v>
      </c>
      <c r="F28" s="6" t="s">
        <v>144</v>
      </c>
      <c r="G28" s="3" t="str">
        <f t="shared" si="1"/>
        <v>Приволжский</v>
      </c>
      <c r="H28" s="17">
        <f t="shared" si="2"/>
        <v>1105780.4425639627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6" t="s">
        <v>167</v>
      </c>
      <c r="B29" s="22">
        <v>491751.14400836575</v>
      </c>
      <c r="C29" s="3"/>
      <c r="D29" s="3"/>
      <c r="E29" s="6" t="s">
        <v>168</v>
      </c>
      <c r="F29" s="6" t="s">
        <v>144</v>
      </c>
      <c r="G29" s="3" t="str">
        <f t="shared" si="1"/>
        <v>Приволжский</v>
      </c>
      <c r="H29" s="17">
        <f t="shared" si="2"/>
        <v>1508965.7997824168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6" t="s">
        <v>143</v>
      </c>
      <c r="B30" s="22">
        <v>13685.299893366668</v>
      </c>
      <c r="C30" s="3"/>
      <c r="D30" s="3"/>
      <c r="E30" s="6" t="s">
        <v>145</v>
      </c>
      <c r="F30" s="6" t="s">
        <v>169</v>
      </c>
      <c r="G30" s="3" t="str">
        <f t="shared" si="1"/>
        <v>Северо-Западный</v>
      </c>
      <c r="H30" s="17">
        <f t="shared" si="2"/>
        <v>1330115.3525359863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" t="s">
        <v>170</v>
      </c>
      <c r="B31" s="22">
        <v>302887.16282995907</v>
      </c>
      <c r="C31" s="3"/>
      <c r="D31" s="3"/>
      <c r="E31" s="6" t="s">
        <v>157</v>
      </c>
      <c r="F31" s="6" t="s">
        <v>169</v>
      </c>
      <c r="G31" s="3" t="str">
        <f t="shared" si="1"/>
        <v>Северо-Западный</v>
      </c>
      <c r="H31" s="17">
        <f t="shared" si="2"/>
        <v>2729167.6662248289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6" t="s">
        <v>171</v>
      </c>
      <c r="B32" s="22">
        <v>4979620.8051197128</v>
      </c>
      <c r="C32" s="3"/>
      <c r="D32" s="3"/>
      <c r="E32" s="6" t="s">
        <v>165</v>
      </c>
      <c r="F32" s="6" t="s">
        <v>169</v>
      </c>
      <c r="G32" s="3" t="str">
        <f t="shared" si="1"/>
        <v>Северо-Западный</v>
      </c>
      <c r="H32" s="17">
        <f t="shared" si="2"/>
        <v>2198751.4444277342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6" t="s">
        <v>172</v>
      </c>
      <c r="B33" s="22">
        <v>2024726.433923705</v>
      </c>
      <c r="C33" s="3"/>
      <c r="D33" s="3"/>
      <c r="E33" s="6" t="s">
        <v>173</v>
      </c>
      <c r="F33" s="6" t="s">
        <v>169</v>
      </c>
      <c r="G33" s="3" t="str">
        <f t="shared" si="1"/>
        <v>Северо-Западный</v>
      </c>
      <c r="H33" s="17">
        <f t="shared" si="2"/>
        <v>3636382.6185159772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6" t="s">
        <v>173</v>
      </c>
      <c r="B34" s="22">
        <v>3636382.6185159772</v>
      </c>
      <c r="C34" s="3"/>
      <c r="D34" s="3"/>
      <c r="E34" s="6" t="s">
        <v>174</v>
      </c>
      <c r="F34" s="6" t="s">
        <v>169</v>
      </c>
      <c r="G34" s="3" t="str">
        <f t="shared" si="1"/>
        <v>Северо-Западный</v>
      </c>
      <c r="H34" s="17">
        <f t="shared" si="2"/>
        <v>173544.65647777205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6" t="s">
        <v>175</v>
      </c>
      <c r="B35" s="22">
        <v>1111392.7840502323</v>
      </c>
      <c r="C35" s="3"/>
      <c r="D35" s="3"/>
      <c r="E35" s="6" t="s">
        <v>176</v>
      </c>
      <c r="F35" s="6" t="s">
        <v>169</v>
      </c>
      <c r="G35" s="3" t="str">
        <f t="shared" si="1"/>
        <v>Северо-Западный</v>
      </c>
      <c r="H35" s="17">
        <f t="shared" si="2"/>
        <v>964498.88058480259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6" t="s">
        <v>177</v>
      </c>
      <c r="B36" s="22">
        <v>17701227.882065296</v>
      </c>
      <c r="C36" s="3"/>
      <c r="D36" s="3"/>
      <c r="E36" s="6" t="s">
        <v>178</v>
      </c>
      <c r="F36" s="6" t="s">
        <v>169</v>
      </c>
      <c r="G36" s="3" t="str">
        <f t="shared" si="1"/>
        <v>Северо-Западный</v>
      </c>
      <c r="H36" s="17">
        <f t="shared" si="2"/>
        <v>1096678.3496048846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6" t="s">
        <v>179</v>
      </c>
      <c r="B37" s="22">
        <v>5113876.3341336185</v>
      </c>
      <c r="C37" s="3"/>
      <c r="D37" s="3"/>
      <c r="E37" s="6" t="s">
        <v>180</v>
      </c>
      <c r="F37" s="6" t="s">
        <v>169</v>
      </c>
      <c r="G37" s="3" t="str">
        <f t="shared" si="1"/>
        <v>Северо-Западный</v>
      </c>
      <c r="H37" s="17">
        <f t="shared" si="2"/>
        <v>1317813.6364618391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6" t="s">
        <v>174</v>
      </c>
      <c r="B38" s="22">
        <v>173544.65647777205</v>
      </c>
      <c r="C38" s="3"/>
      <c r="D38" s="3"/>
      <c r="E38" s="6" t="s">
        <v>181</v>
      </c>
      <c r="F38" s="6" t="s">
        <v>169</v>
      </c>
      <c r="G38" s="3" t="str">
        <f t="shared" si="1"/>
        <v>Северо-Западный</v>
      </c>
      <c r="H38" s="17">
        <f t="shared" si="2"/>
        <v>269764.63149804372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6" t="s">
        <v>146</v>
      </c>
      <c r="B39" s="22">
        <v>1105996.6703022779</v>
      </c>
      <c r="C39" s="3"/>
      <c r="D39" s="3"/>
      <c r="E39" s="6" t="s">
        <v>182</v>
      </c>
      <c r="F39" s="6" t="s">
        <v>169</v>
      </c>
      <c r="G39" s="3" t="str">
        <f t="shared" si="1"/>
        <v>Северо-Западный</v>
      </c>
      <c r="H39" s="17">
        <f t="shared" si="2"/>
        <v>24403046.513135962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6" t="s">
        <v>176</v>
      </c>
      <c r="B40" s="22">
        <v>964498.88058480259</v>
      </c>
      <c r="C40" s="3"/>
      <c r="D40" s="3"/>
      <c r="E40" s="6" t="s">
        <v>183</v>
      </c>
      <c r="F40" s="6" t="s">
        <v>184</v>
      </c>
      <c r="G40" s="3" t="str">
        <f t="shared" si="1"/>
        <v>Северо-Кавказский</v>
      </c>
      <c r="H40" s="17">
        <f t="shared" si="2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6" t="s">
        <v>185</v>
      </c>
      <c r="B41" s="22">
        <v>0</v>
      </c>
      <c r="C41" s="3"/>
      <c r="D41" s="3"/>
      <c r="E41" s="6" t="s">
        <v>186</v>
      </c>
      <c r="F41" s="6" t="s">
        <v>184</v>
      </c>
      <c r="G41" s="3" t="str">
        <f t="shared" si="1"/>
        <v>Северо-Кавказский</v>
      </c>
      <c r="H41" s="17">
        <f t="shared" si="2"/>
        <v>437936.43923768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6" t="s">
        <v>148</v>
      </c>
      <c r="B42" s="22">
        <v>206429.0635915428</v>
      </c>
      <c r="C42" s="3"/>
      <c r="D42" s="3"/>
      <c r="E42" s="6" t="s">
        <v>187</v>
      </c>
      <c r="F42" s="6" t="s">
        <v>184</v>
      </c>
      <c r="G42" s="3" t="str">
        <f t="shared" si="1"/>
        <v>Северо-Кавказский</v>
      </c>
      <c r="H42" s="17">
        <f t="shared" si="2"/>
        <v>85177.306536314136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6" t="s">
        <v>188</v>
      </c>
      <c r="B43" s="22">
        <v>970174.17445058178</v>
      </c>
      <c r="C43" s="3"/>
      <c r="D43" s="3"/>
      <c r="E43" s="6" t="s">
        <v>189</v>
      </c>
      <c r="F43" s="6" t="s">
        <v>184</v>
      </c>
      <c r="G43" s="3" t="str">
        <f t="shared" si="1"/>
        <v>Северо-Кавказский</v>
      </c>
      <c r="H43" s="17">
        <f t="shared" si="2"/>
        <v>796038.31301741628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6" t="s">
        <v>150</v>
      </c>
      <c r="B44" s="22">
        <v>2499435.273974861</v>
      </c>
      <c r="C44" s="3"/>
      <c r="D44" s="3"/>
      <c r="E44" s="6" t="s">
        <v>190</v>
      </c>
      <c r="F44" s="6" t="s">
        <v>184</v>
      </c>
      <c r="G44" s="3" t="str">
        <f t="shared" si="1"/>
        <v>Северо-Кавказский</v>
      </c>
      <c r="H44" s="17">
        <f t="shared" si="2"/>
        <v>4956730.7725180676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6" t="s">
        <v>152</v>
      </c>
      <c r="B45" s="22">
        <v>0</v>
      </c>
      <c r="C45" s="3"/>
      <c r="D45" s="3"/>
      <c r="E45" s="6" t="s">
        <v>163</v>
      </c>
      <c r="F45" s="6" t="s">
        <v>191</v>
      </c>
      <c r="G45" s="3" t="str">
        <f t="shared" si="1"/>
        <v>Сибирский</v>
      </c>
      <c r="H45" s="17">
        <f t="shared" si="2"/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6" t="s">
        <v>178</v>
      </c>
      <c r="B46" s="22">
        <v>1096678.3496048846</v>
      </c>
      <c r="C46" s="3"/>
      <c r="D46" s="3"/>
      <c r="E46" s="6" t="s">
        <v>185</v>
      </c>
      <c r="F46" s="6" t="s">
        <v>191</v>
      </c>
      <c r="G46" s="3" t="str">
        <f t="shared" si="1"/>
        <v>Сибирский</v>
      </c>
      <c r="H46" s="17">
        <f t="shared" si="2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6" t="s">
        <v>154</v>
      </c>
      <c r="B47" s="22">
        <v>1324742.5037978508</v>
      </c>
      <c r="C47" s="3"/>
      <c r="D47" s="3"/>
      <c r="E47" s="6" t="s">
        <v>192</v>
      </c>
      <c r="F47" s="6" t="s">
        <v>193</v>
      </c>
      <c r="G47" s="3" t="str">
        <f t="shared" si="1"/>
        <v>Уральский</v>
      </c>
      <c r="H47" s="17">
        <f t="shared" si="2"/>
        <v>16625619.42017624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6" t="s">
        <v>183</v>
      </c>
      <c r="B48" s="22">
        <v>0</v>
      </c>
      <c r="C48" s="3"/>
      <c r="D48" s="3"/>
      <c r="E48" s="6" t="s">
        <v>194</v>
      </c>
      <c r="F48" s="6" t="s">
        <v>193</v>
      </c>
      <c r="G48" s="3" t="str">
        <f t="shared" si="1"/>
        <v>Уральский</v>
      </c>
      <c r="H48" s="17">
        <f t="shared" si="2"/>
        <v>1634137.0267271057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6" t="s">
        <v>186</v>
      </c>
      <c r="B49" s="22">
        <v>437936.43923768</v>
      </c>
      <c r="C49" s="3"/>
      <c r="D49" s="3"/>
      <c r="E49" s="6" t="s">
        <v>195</v>
      </c>
      <c r="F49" s="6" t="s">
        <v>193</v>
      </c>
      <c r="G49" s="3" t="str">
        <f t="shared" si="1"/>
        <v>Уральский</v>
      </c>
      <c r="H49" s="17">
        <f t="shared" si="2"/>
        <v>3185996.6619653017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6" t="s">
        <v>180</v>
      </c>
      <c r="B50" s="22">
        <v>1317813.6364618391</v>
      </c>
      <c r="C50" s="3"/>
      <c r="D50" s="3"/>
      <c r="E50" s="6" t="s">
        <v>196</v>
      </c>
      <c r="F50" s="6" t="s">
        <v>193</v>
      </c>
      <c r="G50" s="3" t="str">
        <f t="shared" si="1"/>
        <v>Уральский</v>
      </c>
      <c r="H50" s="17">
        <f t="shared" si="2"/>
        <v>27965.910332094783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6" t="s">
        <v>181</v>
      </c>
      <c r="B51" s="22">
        <v>269764.63149804372</v>
      </c>
      <c r="C51" s="3"/>
      <c r="D51" s="3"/>
      <c r="E51" s="6" t="s">
        <v>149</v>
      </c>
      <c r="F51" s="6" t="s">
        <v>197</v>
      </c>
      <c r="G51" s="3" t="str">
        <f t="shared" si="1"/>
        <v>Центральный</v>
      </c>
      <c r="H51" s="17">
        <f t="shared" si="2"/>
        <v>1026104.6265847819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6" t="s">
        <v>198</v>
      </c>
      <c r="B52" s="22">
        <v>2501749.4581868295</v>
      </c>
      <c r="C52" s="3"/>
      <c r="D52" s="3"/>
      <c r="E52" s="6" t="s">
        <v>151</v>
      </c>
      <c r="F52" s="6" t="s">
        <v>197</v>
      </c>
      <c r="G52" s="3" t="str">
        <f t="shared" si="1"/>
        <v>Центральный</v>
      </c>
      <c r="H52" s="17">
        <f t="shared" si="2"/>
        <v>294729.35556352319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6" t="s">
        <v>156</v>
      </c>
      <c r="B53" s="22">
        <v>49083.696597548886</v>
      </c>
      <c r="C53" s="3"/>
      <c r="D53" s="3"/>
      <c r="E53" s="6" t="s">
        <v>153</v>
      </c>
      <c r="F53" s="6" t="s">
        <v>197</v>
      </c>
      <c r="G53" s="3" t="str">
        <f t="shared" si="1"/>
        <v>Центральный</v>
      </c>
      <c r="H53" s="17">
        <f t="shared" si="2"/>
        <v>2100198.1257756436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6" t="s">
        <v>158</v>
      </c>
      <c r="B54" s="22">
        <v>1310736.9678869792</v>
      </c>
      <c r="C54" s="3"/>
      <c r="D54" s="3"/>
      <c r="E54" s="6" t="s">
        <v>159</v>
      </c>
      <c r="F54" s="6" t="s">
        <v>197</v>
      </c>
      <c r="G54" s="3" t="str">
        <f t="shared" si="1"/>
        <v>Центральный</v>
      </c>
      <c r="H54" s="17">
        <f t="shared" si="2"/>
        <v>1058388.2490332338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6" t="s">
        <v>187</v>
      </c>
      <c r="B55" s="22">
        <v>85177.306536314136</v>
      </c>
      <c r="C55" s="3"/>
      <c r="D55" s="3"/>
      <c r="E55" s="6" t="s">
        <v>161</v>
      </c>
      <c r="F55" s="6" t="s">
        <v>197</v>
      </c>
      <c r="G55" s="3" t="str">
        <f t="shared" si="1"/>
        <v>Центральный</v>
      </c>
      <c r="H55" s="17">
        <f t="shared" si="2"/>
        <v>138470.60138106262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6" t="s">
        <v>160</v>
      </c>
      <c r="B56" s="22">
        <v>1007016.3702935141</v>
      </c>
      <c r="C56" s="3"/>
      <c r="D56" s="3"/>
      <c r="E56" s="6" t="s">
        <v>167</v>
      </c>
      <c r="F56" s="6" t="s">
        <v>197</v>
      </c>
      <c r="G56" s="3" t="str">
        <f t="shared" si="1"/>
        <v>Центральный</v>
      </c>
      <c r="H56" s="17">
        <f t="shared" si="2"/>
        <v>491751.14400836575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6" t="s">
        <v>189</v>
      </c>
      <c r="B57" s="22">
        <v>796038.31301741628</v>
      </c>
      <c r="C57" s="3"/>
      <c r="D57" s="3"/>
      <c r="E57" s="6" t="s">
        <v>170</v>
      </c>
      <c r="F57" s="6" t="s">
        <v>197</v>
      </c>
      <c r="G57" s="3" t="str">
        <f t="shared" si="1"/>
        <v>Центральный</v>
      </c>
      <c r="H57" s="17">
        <f t="shared" si="2"/>
        <v>302887.16282995907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6" t="s">
        <v>162</v>
      </c>
      <c r="B58" s="22">
        <v>158920.54501172042</v>
      </c>
      <c r="C58" s="3"/>
      <c r="D58" s="3"/>
      <c r="E58" s="6" t="s">
        <v>172</v>
      </c>
      <c r="F58" s="6" t="s">
        <v>197</v>
      </c>
      <c r="G58" s="3" t="str">
        <f t="shared" si="1"/>
        <v>Центральный</v>
      </c>
      <c r="H58" s="17">
        <f t="shared" si="2"/>
        <v>2024726.433923705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6" t="s">
        <v>199</v>
      </c>
      <c r="B59" s="22">
        <v>3474455.413117684</v>
      </c>
      <c r="C59" s="3"/>
      <c r="D59" s="3"/>
      <c r="E59" s="6" t="s">
        <v>175</v>
      </c>
      <c r="F59" s="6" t="s">
        <v>197</v>
      </c>
      <c r="G59" s="3" t="str">
        <f t="shared" si="1"/>
        <v>Центральный</v>
      </c>
      <c r="H59" s="17">
        <f t="shared" si="2"/>
        <v>1111392.7840502323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6" t="s">
        <v>200</v>
      </c>
      <c r="B60" s="22">
        <v>792741.52427310427</v>
      </c>
      <c r="C60" s="3"/>
      <c r="D60" s="3"/>
      <c r="E60" s="6" t="s">
        <v>177</v>
      </c>
      <c r="F60" s="6" t="s">
        <v>197</v>
      </c>
      <c r="G60" s="3" t="str">
        <f t="shared" si="1"/>
        <v>Центральный</v>
      </c>
      <c r="H60" s="17">
        <f t="shared" si="2"/>
        <v>17701227.882065296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6" t="s">
        <v>164</v>
      </c>
      <c r="B61" s="22">
        <v>988650.69783661608</v>
      </c>
      <c r="C61" s="3"/>
      <c r="D61" s="3"/>
      <c r="E61" s="6" t="s">
        <v>179</v>
      </c>
      <c r="F61" s="6" t="s">
        <v>197</v>
      </c>
      <c r="G61" s="3" t="str">
        <f t="shared" si="1"/>
        <v>Центральный</v>
      </c>
      <c r="H61" s="17">
        <f t="shared" si="2"/>
        <v>5113876.3341336185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6" t="s">
        <v>182</v>
      </c>
      <c r="B62" s="22">
        <v>24403046.513135962</v>
      </c>
      <c r="C62" s="3"/>
      <c r="D62" s="3"/>
      <c r="E62" s="6" t="s">
        <v>188</v>
      </c>
      <c r="F62" s="6" t="s">
        <v>197</v>
      </c>
      <c r="G62" s="3" t="str">
        <f t="shared" si="1"/>
        <v>Центральный</v>
      </c>
      <c r="H62" s="17">
        <f t="shared" si="2"/>
        <v>970174.17445058178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6" t="s">
        <v>166</v>
      </c>
      <c r="B63" s="22">
        <v>1105780.4425639627</v>
      </c>
      <c r="C63" s="3"/>
      <c r="D63" s="3"/>
      <c r="E63" s="6" t="s">
        <v>200</v>
      </c>
      <c r="F63" s="6" t="s">
        <v>197</v>
      </c>
      <c r="G63" s="3" t="str">
        <f t="shared" si="1"/>
        <v>Центральный</v>
      </c>
      <c r="H63" s="17">
        <f t="shared" si="2"/>
        <v>792741.52427310427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6" t="s">
        <v>192</v>
      </c>
      <c r="B64" s="22">
        <v>16625619.42017624</v>
      </c>
      <c r="C64" s="3"/>
      <c r="D64" s="3"/>
      <c r="E64" s="6" t="s">
        <v>201</v>
      </c>
      <c r="F64" s="6" t="s">
        <v>197</v>
      </c>
      <c r="G64" s="3" t="str">
        <f t="shared" si="1"/>
        <v>Центральный</v>
      </c>
      <c r="H64" s="17">
        <f t="shared" si="2"/>
        <v>1421104.8059370134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6" t="s">
        <v>201</v>
      </c>
      <c r="B65" s="22">
        <v>1421104.8059370134</v>
      </c>
      <c r="C65" s="3"/>
      <c r="D65" s="3"/>
      <c r="E65" s="6" t="s">
        <v>202</v>
      </c>
      <c r="F65" s="6" t="s">
        <v>197</v>
      </c>
      <c r="G65" s="3" t="str">
        <f t="shared" si="1"/>
        <v>Центральный</v>
      </c>
      <c r="H65" s="17">
        <f t="shared" si="2"/>
        <v>2830652.3761140788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6" t="s">
        <v>190</v>
      </c>
      <c r="B66" s="22">
        <v>4956730.7725180676</v>
      </c>
      <c r="C66" s="3"/>
      <c r="D66" s="3"/>
      <c r="E66" s="6" t="s">
        <v>203</v>
      </c>
      <c r="F66" s="6" t="s">
        <v>197</v>
      </c>
      <c r="G66" s="3" t="str">
        <f t="shared" si="1"/>
        <v>Центральный</v>
      </c>
      <c r="H66" s="17">
        <f t="shared" si="2"/>
        <v>4213634.0421381406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6" t="s">
        <v>202</v>
      </c>
      <c r="B67" s="22">
        <v>2830652.3761140788</v>
      </c>
      <c r="C67" s="3"/>
      <c r="D67" s="3"/>
      <c r="E67" s="6" t="s">
        <v>204</v>
      </c>
      <c r="F67" s="6" t="s">
        <v>197</v>
      </c>
      <c r="G67" s="3" t="str">
        <f t="shared" si="1"/>
        <v>Центральный</v>
      </c>
      <c r="H67" s="17">
        <f t="shared" si="2"/>
        <v>629667.49074374698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6" t="s">
        <v>203</v>
      </c>
      <c r="B68" s="22">
        <v>4213634.0421381406</v>
      </c>
      <c r="C68" s="3"/>
      <c r="D68" s="3"/>
      <c r="E68" s="6" t="s">
        <v>205</v>
      </c>
      <c r="F68" s="6" t="s">
        <v>197</v>
      </c>
      <c r="G68" s="3" t="str">
        <f t="shared" si="1"/>
        <v>Центральный</v>
      </c>
      <c r="H68" s="17">
        <f t="shared" si="2"/>
        <v>101606.50905830081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6" t="s">
        <v>204</v>
      </c>
      <c r="B69" s="22">
        <v>629667.49074374698</v>
      </c>
      <c r="C69" s="3"/>
      <c r="D69" s="3"/>
      <c r="E69" s="6" t="s">
        <v>147</v>
      </c>
      <c r="F69" s="6" t="s">
        <v>206</v>
      </c>
      <c r="G69" s="3" t="str">
        <f t="shared" si="1"/>
        <v>Южный</v>
      </c>
      <c r="H69" s="17">
        <f t="shared" si="2"/>
        <v>777437.25340235233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6" t="s">
        <v>194</v>
      </c>
      <c r="B70" s="22">
        <v>1634137.0267271057</v>
      </c>
      <c r="C70" s="3"/>
      <c r="D70" s="3"/>
      <c r="E70" s="6" t="s">
        <v>155</v>
      </c>
      <c r="F70" s="6" t="s">
        <v>206</v>
      </c>
      <c r="G70" s="3" t="str">
        <f t="shared" si="1"/>
        <v>Южный</v>
      </c>
      <c r="H70" s="17">
        <f t="shared" si="2"/>
        <v>1708583.689617031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6" t="s">
        <v>168</v>
      </c>
      <c r="B71" s="22">
        <v>1508965.7997824168</v>
      </c>
      <c r="C71" s="3"/>
      <c r="D71" s="3"/>
      <c r="E71" s="6" t="s">
        <v>171</v>
      </c>
      <c r="F71" s="6" t="s">
        <v>206</v>
      </c>
      <c r="G71" s="3" t="str">
        <f t="shared" si="1"/>
        <v>Южный</v>
      </c>
      <c r="H71" s="17">
        <f t="shared" si="2"/>
        <v>4979620.8051197128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6" t="s">
        <v>195</v>
      </c>
      <c r="B72" s="22">
        <v>3185996.6619653017</v>
      </c>
      <c r="C72" s="3"/>
      <c r="D72" s="3"/>
      <c r="E72" s="6" t="s">
        <v>198</v>
      </c>
      <c r="F72" s="6" t="s">
        <v>206</v>
      </c>
      <c r="G72" s="3" t="str">
        <f t="shared" si="1"/>
        <v>Южный</v>
      </c>
      <c r="H72" s="17">
        <f t="shared" si="2"/>
        <v>2501749.4581868295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6" t="s">
        <v>196</v>
      </c>
      <c r="B73" s="22">
        <v>27965.910332094783</v>
      </c>
      <c r="C73" s="3"/>
      <c r="D73" s="3"/>
      <c r="E73" s="6" t="s">
        <v>199</v>
      </c>
      <c r="F73" s="6" t="s">
        <v>206</v>
      </c>
      <c r="G73" s="3" t="str">
        <f t="shared" si="1"/>
        <v>Южный</v>
      </c>
      <c r="H73" s="17">
        <f t="shared" si="2"/>
        <v>3474455.413117684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6" t="s">
        <v>205</v>
      </c>
      <c r="B74" s="22">
        <v>101606.50905830081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1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1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1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1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1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1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1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1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1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1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1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1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1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1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1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1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1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1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1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1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1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1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1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1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1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1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1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1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1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1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1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1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1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1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1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1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1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1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1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1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1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1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1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1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1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1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1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1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1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1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1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1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1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1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1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1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1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1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1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1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1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1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1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1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1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1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1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1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1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1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1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1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1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1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1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1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1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1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1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1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1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1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1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1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1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1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1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1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1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1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1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1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1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1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1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1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1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1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1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1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1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1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1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1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1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1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1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1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1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1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1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1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1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1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1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1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1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1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1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1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1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1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1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1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1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1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1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1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1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1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1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1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1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1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1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1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1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1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1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1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1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1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1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1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1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1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1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1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1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1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1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1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1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1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1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1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1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1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1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1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1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1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1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1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1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1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1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1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1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1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1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1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1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1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1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1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1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1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1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1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1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1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1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1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1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1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1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1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1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1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1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1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1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1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1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1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1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1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1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1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1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1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1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1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1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1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1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1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1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1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1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1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1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1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1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1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1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1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1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1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1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1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1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1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1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1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1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1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1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1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1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1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1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1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1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1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1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1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1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1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1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1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1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1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1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1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1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1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1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1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1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1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1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1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1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1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1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1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1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1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1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1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1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1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1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1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1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1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1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1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1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1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1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1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1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1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1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1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1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1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1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1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1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1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1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1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1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1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1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1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1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1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1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1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1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1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1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1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1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1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1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1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1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1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1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1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1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1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1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1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1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1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1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1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1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1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1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1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1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1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1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1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1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1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1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1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1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1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1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1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1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1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1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1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1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1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1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1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1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1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1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1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1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1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1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1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1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1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1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1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1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1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1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1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1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1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1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1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1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1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1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1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1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1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1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1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1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1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1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1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1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1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1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1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1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1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1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1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1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1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1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1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1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1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1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1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1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1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1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1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1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1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1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1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1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1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1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1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1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1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1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1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1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1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1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1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1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1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1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1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1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1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1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1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1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1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1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1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1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1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1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1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1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1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1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1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1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1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1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1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1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1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1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1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1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1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1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1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1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1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1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1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1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1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1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1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1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1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1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1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1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1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1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1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1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1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1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1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1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1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1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1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1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1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1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1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1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1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1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1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1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1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1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1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1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1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1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1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1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1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1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1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1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1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1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1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1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1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1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1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1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1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1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1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1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1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1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1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1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1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1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1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1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1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1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1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1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1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1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1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1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1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1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1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1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1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1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1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1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1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1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1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1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1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1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1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1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1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1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1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1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1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1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1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1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1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1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1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1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1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1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1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1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1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1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1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1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1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1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1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1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1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1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1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1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1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1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1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1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1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1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1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1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1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1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1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1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1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1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1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1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1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1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1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1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1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1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1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1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1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1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1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1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1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1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1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1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1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1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1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1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1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1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1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1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1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1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1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1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1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1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1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1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1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1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1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1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1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1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1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1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1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1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1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1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1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1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1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1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1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1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1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1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1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1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1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1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1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1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1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1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1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1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1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1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1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1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1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1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1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1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1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1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1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1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1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1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1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1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1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1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1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1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1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1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1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1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1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1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1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1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1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1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1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1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1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1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1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1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1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1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1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1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1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1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1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1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1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1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1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1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1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1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1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1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1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1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1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1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1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1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1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1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1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1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1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1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1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1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1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1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1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1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1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1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1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1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1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1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1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1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1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1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1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1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1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1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1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1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1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1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1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1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1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1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1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1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1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1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1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1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1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1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1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1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1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1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1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1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1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1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1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1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1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1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1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1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1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1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1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1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1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1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1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1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1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1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1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1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1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1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1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1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1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1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1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1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1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1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1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1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1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1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1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1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1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1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1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1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1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1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1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1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1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1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1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1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1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1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1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1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1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1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1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1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1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1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1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1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1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1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1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1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1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1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1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1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1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1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1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1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1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1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1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1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1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1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1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1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1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1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1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1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1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1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1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1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1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1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1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1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1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1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1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1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1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1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1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1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1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1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1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1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1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1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1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1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1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1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1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1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1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1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1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1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1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1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1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1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1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1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1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1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1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1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1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1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1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1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1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1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1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1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1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1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1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1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1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1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1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1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1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1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1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1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1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1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1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1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1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1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1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1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1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1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1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1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1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1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1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1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1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1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1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1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1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1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1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1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1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1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1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1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1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1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1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1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1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1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1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1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1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6">
    <cfRule type="cellIs" dxfId="3" priority="1" operator="lessThan">
      <formula>0</formula>
    </cfRule>
  </conditionalFormatting>
  <conditionalFormatting sqref="A12">
    <cfRule type="cellIs" dxfId="2" priority="2" operator="lessThan">
      <formula>0</formula>
    </cfRule>
  </conditionalFormatting>
  <conditionalFormatting sqref="D12 F12:I12">
    <cfRule type="cellIs" dxfId="1" priority="3" operator="lessThan">
      <formula>0</formula>
    </cfRule>
  </conditionalFormatting>
  <conditionalFormatting sqref="K12:Z12 B16:B74">
    <cfRule type="cellIs" dxfId="0" priority="4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B14" sqref="B14"/>
    </sheetView>
  </sheetViews>
  <sheetFormatPr defaultColWidth="14.44140625" defaultRowHeight="15" customHeight="1" x14ac:dyDescent="0.3"/>
  <cols>
    <col min="1" max="1" width="33.33203125" customWidth="1"/>
    <col min="2" max="2" width="35.44140625" customWidth="1"/>
    <col min="3" max="4" width="8.88671875" customWidth="1"/>
    <col min="5" max="5" width="21.109375" customWidth="1"/>
    <col min="6" max="6" width="19.6640625" customWidth="1"/>
    <col min="7" max="8" width="8.88671875" customWidth="1"/>
    <col min="9" max="9" width="16.5546875" customWidth="1"/>
    <col min="10" max="10" width="17.5546875" customWidth="1"/>
    <col min="11" max="26" width="8.88671875" customWidth="1"/>
  </cols>
  <sheetData>
    <row r="1" spans="1:26" ht="19.5" customHeight="1" x14ac:dyDescent="0.3">
      <c r="A1" s="16" t="s">
        <v>0</v>
      </c>
      <c r="B1" s="2"/>
      <c r="C1" s="2"/>
      <c r="D1" s="3"/>
      <c r="E1" s="16" t="s">
        <v>16</v>
      </c>
      <c r="F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33" t="s">
        <v>207</v>
      </c>
      <c r="B2" s="34"/>
      <c r="C2" s="4"/>
      <c r="D2" s="3"/>
      <c r="E2" s="3"/>
      <c r="F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3"/>
      <c r="B3" s="3"/>
      <c r="C3" s="3"/>
      <c r="D3" s="3"/>
      <c r="E3" s="3"/>
      <c r="F3" s="3"/>
      <c r="G3" s="3"/>
      <c r="H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23" t="s">
        <v>208</v>
      </c>
      <c r="B4" s="23" t="s">
        <v>209</v>
      </c>
      <c r="C4" s="3"/>
      <c r="D4" s="3"/>
      <c r="E4" s="23" t="s">
        <v>210</v>
      </c>
      <c r="F4" s="23" t="s">
        <v>209</v>
      </c>
      <c r="G4" s="3"/>
      <c r="H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24" t="s">
        <v>211</v>
      </c>
      <c r="B5" s="25" t="str">
        <f>_xlfn.XLOOKUP(A5,$E$5:$E$31,$F$5:$F$31," ")</f>
        <v>5 ноября 2012</v>
      </c>
      <c r="C5" s="4"/>
      <c r="D5" s="4"/>
      <c r="E5" s="26" t="s">
        <v>212</v>
      </c>
      <c r="F5" s="26" t="s">
        <v>213</v>
      </c>
      <c r="G5" s="4"/>
      <c r="H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24" t="s">
        <v>214</v>
      </c>
      <c r="B6" s="25" t="str">
        <f t="shared" ref="B6:B32" si="0">_xlfn.XLOOKUP(A6,$E$5:$E$31,$F$5:$F$31," ")</f>
        <v>1 апреля 2013</v>
      </c>
      <c r="C6" s="4"/>
      <c r="D6" s="4"/>
      <c r="E6" s="26" t="s">
        <v>214</v>
      </c>
      <c r="F6" s="26" t="s">
        <v>215</v>
      </c>
      <c r="G6" s="4"/>
      <c r="H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24" t="s">
        <v>216</v>
      </c>
      <c r="B7" s="25" t="str">
        <f t="shared" si="0"/>
        <v xml:space="preserve"> </v>
      </c>
      <c r="C7" s="4"/>
      <c r="D7" s="4"/>
      <c r="E7" s="26" t="s">
        <v>217</v>
      </c>
      <c r="F7" s="26" t="s">
        <v>218</v>
      </c>
      <c r="G7" s="4"/>
      <c r="H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24" t="s">
        <v>219</v>
      </c>
      <c r="B8" s="25" t="str">
        <f t="shared" si="0"/>
        <v xml:space="preserve"> </v>
      </c>
      <c r="C8" s="4"/>
      <c r="D8" s="4"/>
      <c r="E8" s="26" t="s">
        <v>220</v>
      </c>
      <c r="F8" s="26" t="s">
        <v>221</v>
      </c>
      <c r="G8" s="4"/>
      <c r="H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24" t="s">
        <v>222</v>
      </c>
      <c r="B9" s="25" t="str">
        <f t="shared" si="0"/>
        <v>5 ноября 2012</v>
      </c>
      <c r="C9" s="4"/>
      <c r="D9" s="4"/>
      <c r="E9" s="26" t="s">
        <v>182</v>
      </c>
      <c r="F9" s="26" t="s">
        <v>223</v>
      </c>
      <c r="G9" s="4"/>
      <c r="H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24" t="s">
        <v>224</v>
      </c>
      <c r="B10" s="25" t="str">
        <f t="shared" si="0"/>
        <v>5 ноября 2012</v>
      </c>
      <c r="C10" s="4"/>
      <c r="D10" s="4"/>
      <c r="E10" s="26" t="s">
        <v>224</v>
      </c>
      <c r="F10" s="26" t="s">
        <v>225</v>
      </c>
      <c r="G10" s="4"/>
      <c r="H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24" t="s">
        <v>226</v>
      </c>
      <c r="B11" s="25" t="str">
        <f t="shared" si="0"/>
        <v>16 апреля 2012</v>
      </c>
      <c r="C11" s="4"/>
      <c r="D11" s="4"/>
      <c r="E11" s="26" t="s">
        <v>222</v>
      </c>
      <c r="F11" s="26" t="s">
        <v>225</v>
      </c>
      <c r="G11" s="4"/>
      <c r="H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24" t="s">
        <v>227</v>
      </c>
      <c r="B12" s="25" t="str">
        <f t="shared" si="0"/>
        <v xml:space="preserve"> </v>
      </c>
      <c r="C12" s="4"/>
      <c r="D12" s="4"/>
      <c r="E12" s="26" t="s">
        <v>228</v>
      </c>
      <c r="F12" s="26" t="s">
        <v>229</v>
      </c>
      <c r="G12" s="4"/>
      <c r="H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24" t="s">
        <v>230</v>
      </c>
      <c r="B13" s="25" t="str">
        <f t="shared" si="0"/>
        <v xml:space="preserve"> </v>
      </c>
      <c r="C13" s="4"/>
      <c r="D13" s="4"/>
      <c r="E13" s="26" t="s">
        <v>231</v>
      </c>
      <c r="F13" s="26" t="s">
        <v>218</v>
      </c>
      <c r="G13" s="4"/>
      <c r="H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24" t="s">
        <v>232</v>
      </c>
      <c r="B14" s="25" t="str">
        <f t="shared" si="0"/>
        <v>1 октября 2011</v>
      </c>
      <c r="C14" s="4"/>
      <c r="D14" s="4"/>
      <c r="E14" s="26" t="s">
        <v>226</v>
      </c>
      <c r="F14" s="26" t="s">
        <v>233</v>
      </c>
      <c r="G14" s="4"/>
      <c r="H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24" t="s">
        <v>234</v>
      </c>
      <c r="B15" s="25" t="str">
        <f t="shared" si="0"/>
        <v xml:space="preserve"> </v>
      </c>
      <c r="C15" s="4"/>
      <c r="D15" s="4"/>
      <c r="E15" s="26" t="s">
        <v>235</v>
      </c>
      <c r="F15" s="26" t="s">
        <v>236</v>
      </c>
      <c r="G15" s="4"/>
      <c r="H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24" t="s">
        <v>237</v>
      </c>
      <c r="B16" s="25" t="str">
        <f t="shared" si="0"/>
        <v>16 августа 2012</v>
      </c>
      <c r="C16" s="4"/>
      <c r="D16" s="4"/>
      <c r="E16" s="26" t="s">
        <v>211</v>
      </c>
      <c r="F16" s="26" t="s">
        <v>221</v>
      </c>
      <c r="G16" s="4"/>
      <c r="H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24" t="s">
        <v>238</v>
      </c>
      <c r="B17" s="25" t="str">
        <f t="shared" si="0"/>
        <v xml:space="preserve"> </v>
      </c>
      <c r="C17" s="4"/>
      <c r="D17" s="4"/>
      <c r="E17" s="26" t="s">
        <v>239</v>
      </c>
      <c r="F17" s="26" t="s">
        <v>240</v>
      </c>
      <c r="G17" s="4"/>
      <c r="H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24" t="s">
        <v>241</v>
      </c>
      <c r="B18" s="25" t="str">
        <f t="shared" si="0"/>
        <v>5 марта 2012</v>
      </c>
      <c r="C18" s="4"/>
      <c r="D18" s="4"/>
      <c r="E18" s="26" t="s">
        <v>242</v>
      </c>
      <c r="F18" s="26" t="s">
        <v>218</v>
      </c>
      <c r="G18" s="4"/>
      <c r="H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24" t="s">
        <v>243</v>
      </c>
      <c r="B19" s="25" t="str">
        <f t="shared" si="0"/>
        <v xml:space="preserve"> </v>
      </c>
      <c r="C19" s="4"/>
      <c r="D19" s="4"/>
      <c r="E19" s="26" t="s">
        <v>244</v>
      </c>
      <c r="F19" s="26" t="s">
        <v>218</v>
      </c>
      <c r="G19" s="4"/>
      <c r="H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24" t="s">
        <v>245</v>
      </c>
      <c r="B20" s="25" t="str">
        <f t="shared" si="0"/>
        <v xml:space="preserve"> </v>
      </c>
      <c r="C20" s="4"/>
      <c r="D20" s="4"/>
      <c r="E20" s="26" t="s">
        <v>232</v>
      </c>
      <c r="F20" s="26" t="s">
        <v>246</v>
      </c>
      <c r="G20" s="4"/>
      <c r="H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24" t="s">
        <v>247</v>
      </c>
      <c r="B21" s="25" t="str">
        <f t="shared" si="0"/>
        <v xml:space="preserve"> </v>
      </c>
      <c r="C21" s="4"/>
      <c r="D21" s="4"/>
      <c r="E21" s="26" t="s">
        <v>248</v>
      </c>
      <c r="F21" s="26" t="s">
        <v>246</v>
      </c>
      <c r="G21" s="4"/>
      <c r="H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24" t="s">
        <v>249</v>
      </c>
      <c r="B22" s="25" t="str">
        <f t="shared" si="0"/>
        <v xml:space="preserve"> </v>
      </c>
      <c r="C22" s="4"/>
      <c r="D22" s="4"/>
      <c r="E22" s="26" t="s">
        <v>250</v>
      </c>
      <c r="F22" s="26" t="s">
        <v>251</v>
      </c>
      <c r="G22" s="4"/>
      <c r="H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24" t="s">
        <v>252</v>
      </c>
      <c r="B23" s="25" t="str">
        <f t="shared" si="0"/>
        <v>13 мая 2013</v>
      </c>
      <c r="C23" s="4"/>
      <c r="D23" s="4"/>
      <c r="E23" s="26" t="s">
        <v>253</v>
      </c>
      <c r="F23" s="26" t="s">
        <v>254</v>
      </c>
      <c r="G23" s="4"/>
      <c r="H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24" t="s">
        <v>250</v>
      </c>
      <c r="B24" s="25" t="str">
        <f t="shared" si="0"/>
        <v>18 июля 2012</v>
      </c>
      <c r="C24" s="4"/>
      <c r="D24" s="4"/>
      <c r="E24" s="26" t="s">
        <v>255</v>
      </c>
      <c r="F24" s="26" t="s">
        <v>256</v>
      </c>
      <c r="G24" s="4"/>
      <c r="H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24" t="s">
        <v>257</v>
      </c>
      <c r="B25" s="25" t="str">
        <f t="shared" si="0"/>
        <v xml:space="preserve"> </v>
      </c>
      <c r="C25" s="4"/>
      <c r="D25" s="4"/>
      <c r="E25" s="26" t="s">
        <v>241</v>
      </c>
      <c r="F25" s="26" t="s">
        <v>236</v>
      </c>
      <c r="G25" s="4"/>
      <c r="H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24" t="s">
        <v>255</v>
      </c>
      <c r="B26" s="25" t="str">
        <f t="shared" si="0"/>
        <v>16 августа 2012</v>
      </c>
      <c r="C26" s="4"/>
      <c r="D26" s="4"/>
      <c r="E26" s="26" t="s">
        <v>258</v>
      </c>
      <c r="F26" s="26" t="s">
        <v>259</v>
      </c>
      <c r="G26" s="4"/>
      <c r="H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24" t="s">
        <v>182</v>
      </c>
      <c r="B27" s="25" t="str">
        <f t="shared" si="0"/>
        <v>15 апреля 2013</v>
      </c>
      <c r="C27" s="4"/>
      <c r="D27" s="4"/>
      <c r="E27" s="26" t="s">
        <v>260</v>
      </c>
      <c r="F27" s="26" t="s">
        <v>218</v>
      </c>
      <c r="G27" s="4"/>
      <c r="H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24" t="s">
        <v>261</v>
      </c>
      <c r="B28" s="25" t="str">
        <f t="shared" si="0"/>
        <v xml:space="preserve"> </v>
      </c>
      <c r="C28" s="4"/>
      <c r="D28" s="4"/>
      <c r="E28" s="26" t="s">
        <v>262</v>
      </c>
      <c r="F28" s="26" t="s">
        <v>221</v>
      </c>
      <c r="G28" s="4"/>
      <c r="H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24" t="s">
        <v>231</v>
      </c>
      <c r="B29" s="25" t="str">
        <f t="shared" si="0"/>
        <v>13 мая 2013</v>
      </c>
      <c r="C29" s="4"/>
      <c r="D29" s="4"/>
      <c r="E29" s="26" t="s">
        <v>237</v>
      </c>
      <c r="F29" s="26" t="s">
        <v>263</v>
      </c>
      <c r="G29" s="4"/>
      <c r="H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24" t="s">
        <v>262</v>
      </c>
      <c r="B30" s="25" t="str">
        <f t="shared" si="0"/>
        <v>5 ноября 2012</v>
      </c>
      <c r="C30" s="4"/>
      <c r="D30" s="4"/>
      <c r="E30" s="26" t="s">
        <v>252</v>
      </c>
      <c r="F30" s="26" t="s">
        <v>218</v>
      </c>
      <c r="G30" s="4"/>
      <c r="H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24" t="s">
        <v>264</v>
      </c>
      <c r="B31" s="25" t="str">
        <f t="shared" si="0"/>
        <v xml:space="preserve"> </v>
      </c>
      <c r="C31" s="4"/>
      <c r="D31" s="4"/>
      <c r="E31" s="26" t="s">
        <v>265</v>
      </c>
      <c r="F31" s="26" t="s">
        <v>266</v>
      </c>
      <c r="G31" s="4"/>
      <c r="H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24" t="s">
        <v>267</v>
      </c>
      <c r="B32" s="25" t="str">
        <f t="shared" si="0"/>
        <v xml:space="preserve"> </v>
      </c>
      <c r="C32" s="4"/>
      <c r="D32" s="4"/>
      <c r="E32" s="3"/>
      <c r="F32" s="3"/>
      <c r="G32" s="4"/>
      <c r="H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3"/>
      <c r="B33" s="3"/>
      <c r="C33" s="4"/>
      <c r="D33" s="4"/>
      <c r="E33" s="3"/>
      <c r="F33" s="3"/>
      <c r="G33" s="4"/>
      <c r="H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3"/>
      <c r="B34" s="3"/>
      <c r="C34" s="4"/>
      <c r="D34" s="4"/>
      <c r="E34" s="3"/>
      <c r="F34" s="3"/>
      <c r="G34" s="4"/>
      <c r="H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3"/>
      <c r="B35" s="3"/>
      <c r="C35" s="4"/>
      <c r="D35" s="4"/>
      <c r="E35" s="3"/>
      <c r="F35" s="3"/>
      <c r="G35" s="4"/>
      <c r="H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3"/>
      <c r="B36" s="3"/>
      <c r="C36" s="4"/>
      <c r="D36" s="4"/>
      <c r="E36" s="3"/>
      <c r="F36" s="3"/>
      <c r="G36" s="4"/>
      <c r="H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3"/>
      <c r="B37" s="3"/>
      <c r="C37" s="4"/>
      <c r="D37" s="4"/>
      <c r="E37" s="3"/>
      <c r="F37" s="3"/>
      <c r="G37" s="4"/>
      <c r="H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3"/>
      <c r="B38" s="3"/>
      <c r="C38" s="4"/>
      <c r="D38" s="4"/>
      <c r="E38" s="3"/>
      <c r="F38" s="3"/>
      <c r="G38" s="4"/>
      <c r="H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3"/>
      <c r="B39" s="3"/>
      <c r="C39" s="4"/>
      <c r="D39" s="4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3"/>
      <c r="B40" s="3"/>
      <c r="C40" s="4"/>
      <c r="D40" s="4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3"/>
      <c r="B41" s="3"/>
      <c r="C41" s="4"/>
      <c r="D41" s="4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3"/>
      <c r="B42" s="3"/>
      <c r="C42" s="4"/>
      <c r="D42" s="4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3"/>
      <c r="B43" s="3"/>
      <c r="C43" s="4"/>
      <c r="D43" s="4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B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tabSelected="1" workbookViewId="0">
      <selection activeCell="M12" sqref="M12:M383"/>
    </sheetView>
  </sheetViews>
  <sheetFormatPr defaultColWidth="14.44140625" defaultRowHeight="15" customHeight="1" x14ac:dyDescent="0.3"/>
  <cols>
    <col min="1" max="1" width="17" customWidth="1"/>
    <col min="2" max="2" width="11.88671875" customWidth="1"/>
    <col min="3" max="7" width="8.88671875" customWidth="1"/>
    <col min="8" max="8" width="13.21875" bestFit="1" customWidth="1"/>
    <col min="9" max="9" width="8.88671875" customWidth="1"/>
    <col min="10" max="10" width="13" customWidth="1"/>
    <col min="11" max="13" width="8.88671875" customWidth="1"/>
    <col min="14" max="14" width="16.5546875" customWidth="1"/>
    <col min="15" max="15" width="8.88671875" customWidth="1"/>
    <col min="17" max="17" width="18.44140625" customWidth="1"/>
    <col min="18" max="29" width="8.88671875" customWidth="1"/>
  </cols>
  <sheetData>
    <row r="1" spans="1:29" ht="16.5" customHeight="1" x14ac:dyDescent="0.3">
      <c r="A1" s="16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U1" s="3"/>
      <c r="V1" s="3"/>
      <c r="W1" s="3"/>
      <c r="X1" s="3"/>
      <c r="Y1" s="3"/>
      <c r="Z1" s="3"/>
      <c r="AA1" s="3"/>
      <c r="AB1" s="3"/>
      <c r="AC1" s="3"/>
    </row>
    <row r="2" spans="1:29" ht="14.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U2" s="3"/>
      <c r="V2" s="3"/>
      <c r="W2" s="3"/>
      <c r="X2" s="3"/>
      <c r="Y2" s="3"/>
      <c r="Z2" s="3"/>
      <c r="AA2" s="3"/>
      <c r="AB2" s="3"/>
      <c r="AC2" s="3"/>
    </row>
    <row r="3" spans="1:29" ht="14.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28.8" x14ac:dyDescent="0.3">
      <c r="A4" s="27" t="s">
        <v>268</v>
      </c>
      <c r="B4" s="28" t="s">
        <v>269</v>
      </c>
      <c r="C4" s="3"/>
      <c r="D4" s="29" t="s">
        <v>270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4" x14ac:dyDescent="0.3">
      <c r="A5" s="6" t="s">
        <v>271</v>
      </c>
      <c r="B5" s="9">
        <f>COUNTIF($H$12:$H$383,A5)</f>
        <v>135</v>
      </c>
      <c r="C5" s="3"/>
      <c r="D5" s="3" t="s">
        <v>271</v>
      </c>
      <c r="E5" s="3"/>
      <c r="F5" s="3" t="s">
        <v>272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4" x14ac:dyDescent="0.3">
      <c r="A6" s="6" t="s">
        <v>273</v>
      </c>
      <c r="B6" s="9">
        <f t="shared" ref="B6:B8" si="0">COUNTIF($H$12:$H$383,A6)</f>
        <v>108</v>
      </c>
      <c r="C6" s="3"/>
      <c r="D6" s="3" t="s">
        <v>273</v>
      </c>
      <c r="E6" s="3"/>
      <c r="F6" s="3" t="s">
        <v>274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4" x14ac:dyDescent="0.3">
      <c r="A7" s="6" t="s">
        <v>275</v>
      </c>
      <c r="B7" s="9">
        <f t="shared" si="0"/>
        <v>118</v>
      </c>
      <c r="C7" s="3"/>
      <c r="D7" s="3" t="s">
        <v>275</v>
      </c>
      <c r="E7" s="3"/>
      <c r="F7" s="3" t="s">
        <v>276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4" x14ac:dyDescent="0.3">
      <c r="A8" s="6" t="s">
        <v>277</v>
      </c>
      <c r="B8" s="9">
        <f t="shared" si="0"/>
        <v>11</v>
      </c>
      <c r="C8" s="3"/>
      <c r="D8" s="3" t="s">
        <v>277</v>
      </c>
      <c r="E8" s="3"/>
      <c r="F8" s="3" t="s">
        <v>278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8.75" customHeight="1" x14ac:dyDescent="0.3">
      <c r="A9" s="2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4" x14ac:dyDescent="0.3">
      <c r="A10" s="35" t="s">
        <v>16</v>
      </c>
      <c r="B10" s="36"/>
      <c r="C10" s="36"/>
      <c r="D10" s="36"/>
      <c r="E10" s="36"/>
      <c r="F10" s="36"/>
      <c r="G10" s="36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4" x14ac:dyDescent="0.3">
      <c r="A11" s="30" t="s">
        <v>279</v>
      </c>
      <c r="B11" s="31">
        <v>42736</v>
      </c>
      <c r="C11" s="31">
        <v>42767</v>
      </c>
      <c r="D11" s="31">
        <v>42795</v>
      </c>
      <c r="E11" s="31">
        <v>42826</v>
      </c>
      <c r="F11" s="31">
        <v>42856</v>
      </c>
      <c r="G11" s="31">
        <v>42887</v>
      </c>
      <c r="H11" s="32" t="s">
        <v>280</v>
      </c>
      <c r="I11" s="3" t="s">
        <v>271</v>
      </c>
      <c r="J11" s="3" t="s">
        <v>273</v>
      </c>
      <c r="K11" s="3" t="s">
        <v>275</v>
      </c>
      <c r="L11" s="3" t="s">
        <v>277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4" x14ac:dyDescent="0.3">
      <c r="A12" s="6" t="s">
        <v>281</v>
      </c>
      <c r="B12" s="6">
        <v>1</v>
      </c>
      <c r="C12" s="6"/>
      <c r="D12" s="6"/>
      <c r="E12" s="6"/>
      <c r="F12" s="6"/>
      <c r="G12" s="6"/>
      <c r="H12" s="9" t="str" cm="1">
        <f t="array" ref="H12">_xlfn.IFS(AND(SUM(B12:D12)=0,SUM(E12:G12)&gt;0),"Новый",AND(SUM(B12:D12)&gt;0,SUM(E12:G12)&gt;0),"Действующий",AND(SUM(B12:D12)&gt;0,SUM(E12:G12)=0),"Спящий",AND(SUM(B12:G12)=0),"Ушедший")</f>
        <v>Спящий</v>
      </c>
      <c r="I12" s="3">
        <f>IF(AND(SUM(B12:D12)=0,SUM(E12:G12)&gt;0),1,0)</f>
        <v>0</v>
      </c>
      <c r="J12" s="3">
        <f>IF(AND(SUM(B12:D12)&gt;0,SUM(E12:G12)&gt;0),1,0)</f>
        <v>0</v>
      </c>
      <c r="K12" s="3">
        <f>IF(AND(SUM(B12:D12)&gt;0,SUM(E12:G12)=0),1,0)</f>
        <v>1</v>
      </c>
      <c r="L12" s="3">
        <f>IF(AND(SUM(B12:D12)=0,SUM(E12:G12)=0),1,0)</f>
        <v>0</v>
      </c>
      <c r="M12" s="3" t="str" cm="1">
        <f t="array" ref="M12">_xlfn.IFS(I12=1,$I$11,J12=1,$J$11,K12=1,$K$11,L12=1,$L$11)</f>
        <v>Спящий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4" x14ac:dyDescent="0.3">
      <c r="A13" s="6" t="s">
        <v>282</v>
      </c>
      <c r="B13" s="6"/>
      <c r="C13" s="6"/>
      <c r="D13" s="6">
        <v>1</v>
      </c>
      <c r="E13" s="6"/>
      <c r="F13" s="6"/>
      <c r="G13" s="6"/>
      <c r="H13" s="9" t="str" cm="1">
        <f t="array" ref="H13">_xlfn.IFS(AND(SUM(B13:D13)=0,SUM(E13:G13)&gt;0),"Новый",AND(SUM(B13:D13)&gt;0,SUM(E13:G13)&gt;0),"Действующий",AND(SUM(B13:D13)&gt;0,SUM(E13:G13)=0),"Спящий",AND(SUM(B13:G13)=0),"Ушедший")</f>
        <v>Спящий</v>
      </c>
      <c r="I13" s="3">
        <f>IF(AND(SUM(B13:D13)=0,SUM(E13:G13)&gt;0),1,0)</f>
        <v>0</v>
      </c>
      <c r="J13" s="3">
        <f t="shared" ref="J13:J76" si="1">IF(AND(SUM(B13:D13)&gt;0,SUM(E13:G13)&gt;0),1,0)</f>
        <v>0</v>
      </c>
      <c r="K13" s="3">
        <f t="shared" ref="K13:K76" si="2">IF(AND(SUM(B13:D13)&gt;0,SUM(E13:G13)=0),1,0)</f>
        <v>1</v>
      </c>
      <c r="L13" s="3">
        <f t="shared" ref="L13:L76" si="3">IF(AND(SUM(B13:D13)=0,SUM(E13:G13)=0),1,0)</f>
        <v>0</v>
      </c>
      <c r="M13" s="3" t="str" cm="1">
        <f t="array" ref="M13">_xlfn.IFS(I13=1,$I$11,J13=1,$J$11,K13=1,$K$11,L13=1,$L$11)</f>
        <v>Спящий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4" x14ac:dyDescent="0.3">
      <c r="A14" s="6" t="s">
        <v>283</v>
      </c>
      <c r="B14" s="6"/>
      <c r="C14" s="6"/>
      <c r="D14" s="6"/>
      <c r="E14" s="6"/>
      <c r="F14" s="6"/>
      <c r="G14" s="6"/>
      <c r="H14" s="9" t="str" cm="1">
        <f t="array" ref="H14">_xlfn.IFS(AND(SUM(B14:D14)=0,SUM(E14:G14)&gt;0),"Новый",AND(SUM(B14:D14)&gt;0,SUM(E14:G14)&gt;0),"Действующий",AND(SUM(B14:D14)&gt;0,SUM(E14:G14)=0),"Спящий",AND(SUM(B14:G14)=0),"Ушедший")</f>
        <v>Ушедший</v>
      </c>
      <c r="I14" s="3">
        <f>IF(AND(SUM(B14:D14)=0,SUM(E14:G14)&gt;0),1,0)</f>
        <v>0</v>
      </c>
      <c r="J14" s="3">
        <f t="shared" si="1"/>
        <v>0</v>
      </c>
      <c r="K14" s="3">
        <f t="shared" si="2"/>
        <v>0</v>
      </c>
      <c r="L14" s="3">
        <f t="shared" si="3"/>
        <v>1</v>
      </c>
      <c r="M14" s="3" t="str" cm="1">
        <f t="array" ref="M14">_xlfn.IFS(I14=1,$I$11,J14=1,$J$11,K14=1,$K$11,L14=1,$L$11)</f>
        <v>Ушедший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4" x14ac:dyDescent="0.3">
      <c r="A15" s="6" t="s">
        <v>284</v>
      </c>
      <c r="B15" s="6"/>
      <c r="C15" s="6"/>
      <c r="D15" s="6"/>
      <c r="E15" s="6"/>
      <c r="F15" s="6"/>
      <c r="G15" s="6"/>
      <c r="H15" s="9" t="str" cm="1">
        <f t="array" ref="H15">_xlfn.IFS(AND(SUM(B15:D15)=0,SUM(E15:G15)&gt;0),"Новый",AND(SUM(B15:D15)&gt;0,SUM(E15:G15)&gt;0),"Действующий",AND(SUM(B15:D15)&gt;0,SUM(E15:G15)=0),"Спящий",AND(SUM(B15:G15)=0),"Ушедший")</f>
        <v>Ушедший</v>
      </c>
      <c r="I15" s="3">
        <f>IF(AND(SUM(B15:D15)=0,SUM(E15:G15)&gt;0),1,0)</f>
        <v>0</v>
      </c>
      <c r="J15" s="3">
        <f t="shared" si="1"/>
        <v>0</v>
      </c>
      <c r="K15" s="3">
        <f t="shared" si="2"/>
        <v>0</v>
      </c>
      <c r="L15" s="3">
        <f t="shared" si="3"/>
        <v>1</v>
      </c>
      <c r="M15" s="3" t="str" cm="1">
        <f t="array" ref="M15">_xlfn.IFS(I15=1,$I$11,J15=1,$J$11,K15=1,$K$11,L15=1,$L$11)</f>
        <v>Ушедший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4" x14ac:dyDescent="0.3">
      <c r="A16" s="6" t="s">
        <v>285</v>
      </c>
      <c r="B16" s="6"/>
      <c r="C16" s="6">
        <v>2</v>
      </c>
      <c r="D16" s="6">
        <v>10</v>
      </c>
      <c r="E16" s="6">
        <v>7</v>
      </c>
      <c r="F16" s="6">
        <v>2</v>
      </c>
      <c r="G16" s="6"/>
      <c r="H16" s="9" t="str" cm="1">
        <f t="array" ref="H16">_xlfn.IFS(AND(SUM(B16:D16)=0,SUM(E16:G16)&gt;0),"Новый",AND(SUM(B16:D16)&gt;0,SUM(E16:G16)&gt;0),"Действующий",AND(SUM(B16:D16)&gt;0,SUM(E16:G16)=0),"Спящий",AND(SUM(B16:G16)=0),"Ушедший")</f>
        <v>Действующий</v>
      </c>
      <c r="I16" s="3">
        <f>IF(AND(SUM(B16:D16)=0,SUM(E16:G16)&gt;0),1,0)</f>
        <v>0</v>
      </c>
      <c r="J16" s="3">
        <f t="shared" si="1"/>
        <v>1</v>
      </c>
      <c r="K16" s="3">
        <f t="shared" si="2"/>
        <v>0</v>
      </c>
      <c r="L16" s="3">
        <f t="shared" si="3"/>
        <v>0</v>
      </c>
      <c r="M16" s="3" t="str" cm="1">
        <f t="array" ref="M16">_xlfn.IFS(I16=1,$I$11,J16=1,$J$11,K16=1,$K$11,L16=1,$L$11)</f>
        <v>Действующий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4" x14ac:dyDescent="0.3">
      <c r="A17" s="6" t="s">
        <v>286</v>
      </c>
      <c r="B17" s="6"/>
      <c r="C17" s="6"/>
      <c r="D17" s="6">
        <v>1</v>
      </c>
      <c r="E17" s="6"/>
      <c r="F17" s="6"/>
      <c r="G17" s="6"/>
      <c r="H17" s="9" t="str" cm="1">
        <f t="array" ref="H17">_xlfn.IFS(AND(SUM(B17:D17)=0,SUM(E17:G17)&gt;0),"Новый",AND(SUM(B17:D17)&gt;0,SUM(E17:G17)&gt;0),"Действующий",AND(SUM(B17:D17)&gt;0,SUM(E17:G17)=0),"Спящий",AND(SUM(B17:G17)=0),"Ушедший")</f>
        <v>Спящий</v>
      </c>
      <c r="I17" s="3">
        <f>IF(AND(SUM(B17:D17)=0,SUM(E17:G17)&gt;0),1,0)</f>
        <v>0</v>
      </c>
      <c r="J17" s="3">
        <f t="shared" si="1"/>
        <v>0</v>
      </c>
      <c r="K17" s="3">
        <f t="shared" si="2"/>
        <v>1</v>
      </c>
      <c r="L17" s="3">
        <f t="shared" si="3"/>
        <v>0</v>
      </c>
      <c r="M17" s="3" t="str" cm="1">
        <f t="array" ref="M17">_xlfn.IFS(I17=1,$I$11,J17=1,$J$11,K17=1,$K$11,L17=1,$L$11)</f>
        <v>Спящий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4" x14ac:dyDescent="0.3">
      <c r="A18" s="6" t="s">
        <v>287</v>
      </c>
      <c r="B18" s="6">
        <v>1</v>
      </c>
      <c r="C18" s="6"/>
      <c r="D18" s="6"/>
      <c r="E18" s="6"/>
      <c r="F18" s="6"/>
      <c r="G18" s="6"/>
      <c r="H18" s="9" t="str" cm="1">
        <f t="array" ref="H18">_xlfn.IFS(AND(SUM(B18:D18)=0,SUM(E18:G18)&gt;0),"Новый",AND(SUM(B18:D18)&gt;0,SUM(E18:G18)&gt;0),"Действующий",AND(SUM(B18:D18)&gt;0,SUM(E18:G18)=0),"Спящий",AND(SUM(B18:G18)=0),"Ушедший")</f>
        <v>Спящий</v>
      </c>
      <c r="I18" s="3">
        <f>IF(AND(SUM(B18:D18)=0,SUM(E18:G18)&gt;0),1,0)</f>
        <v>0</v>
      </c>
      <c r="J18" s="3">
        <f t="shared" si="1"/>
        <v>0</v>
      </c>
      <c r="K18" s="3">
        <f t="shared" si="2"/>
        <v>1</v>
      </c>
      <c r="L18" s="3">
        <f t="shared" si="3"/>
        <v>0</v>
      </c>
      <c r="M18" s="3" t="str" cm="1">
        <f t="array" ref="M18">_xlfn.IFS(I18=1,$I$11,J18=1,$J$11,K18=1,$K$11,L18=1,$L$11)</f>
        <v>Спящий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4" x14ac:dyDescent="0.3">
      <c r="A19" s="6" t="s">
        <v>288</v>
      </c>
      <c r="B19" s="6"/>
      <c r="C19" s="6">
        <v>2</v>
      </c>
      <c r="D19" s="6">
        <v>5</v>
      </c>
      <c r="E19" s="6">
        <v>13</v>
      </c>
      <c r="F19" s="6">
        <v>7</v>
      </c>
      <c r="G19" s="6">
        <v>7</v>
      </c>
      <c r="H19" s="9" t="str" cm="1">
        <f t="array" ref="H19">_xlfn.IFS(AND(SUM(B19:D19)=0,SUM(E19:G19)&gt;0),"Новый",AND(SUM(B19:D19)&gt;0,SUM(E19:G19)&gt;0),"Действующий",AND(SUM(B19:D19)&gt;0,SUM(E19:G19)=0),"Спящий",AND(SUM(B19:G19)=0),"Ушедший")</f>
        <v>Действующий</v>
      </c>
      <c r="I19" s="3">
        <f>IF(AND(SUM(B19:D19)=0,SUM(E19:G19)&gt;0),1,0)</f>
        <v>0</v>
      </c>
      <c r="J19" s="3">
        <f t="shared" si="1"/>
        <v>1</v>
      </c>
      <c r="K19" s="3">
        <f t="shared" si="2"/>
        <v>0</v>
      </c>
      <c r="L19" s="3">
        <f t="shared" si="3"/>
        <v>0</v>
      </c>
      <c r="M19" s="3" t="str" cm="1">
        <f t="array" ref="M19">_xlfn.IFS(I19=1,$I$11,J19=1,$J$11,K19=1,$K$11,L19=1,$L$11)</f>
        <v>Действующий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4" x14ac:dyDescent="0.3">
      <c r="A20" s="6" t="s">
        <v>289</v>
      </c>
      <c r="B20" s="6"/>
      <c r="C20" s="6"/>
      <c r="D20" s="6"/>
      <c r="E20" s="6">
        <v>1</v>
      </c>
      <c r="F20" s="6"/>
      <c r="G20" s="6"/>
      <c r="H20" s="9" t="str" cm="1">
        <f t="array" ref="H20">_xlfn.IFS(AND(SUM(B20:D20)=0,SUM(E20:G20)&gt;0),"Новый",AND(SUM(B20:D20)&gt;0,SUM(E20:G20)&gt;0),"Действующий",AND(SUM(B20:D20)&gt;0,SUM(E20:G20)=0),"Спящий",AND(SUM(B20:G20)=0),"Ушедший")</f>
        <v>Новый</v>
      </c>
      <c r="I20" s="3">
        <f>IF(AND(SUM(B20:D20)=0,SUM(E20:G20)&gt;0),1,0)</f>
        <v>1</v>
      </c>
      <c r="J20" s="3">
        <f t="shared" si="1"/>
        <v>0</v>
      </c>
      <c r="K20" s="3">
        <f t="shared" si="2"/>
        <v>0</v>
      </c>
      <c r="L20" s="3">
        <f t="shared" si="3"/>
        <v>0</v>
      </c>
      <c r="M20" s="3" t="str" cm="1">
        <f t="array" ref="M20">_xlfn.IFS(I20=1,$I$11,J20=1,$J$11,K20=1,$K$11,L20=1,$L$11)</f>
        <v>Новый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3">
      <c r="A21" s="6" t="s">
        <v>290</v>
      </c>
      <c r="B21" s="6"/>
      <c r="C21" s="6"/>
      <c r="D21" s="6">
        <v>3</v>
      </c>
      <c r="E21" s="6">
        <v>3</v>
      </c>
      <c r="F21" s="6"/>
      <c r="G21" s="6"/>
      <c r="H21" s="9" t="str" cm="1">
        <f t="array" ref="H21">_xlfn.IFS(AND(SUM(B21:D21)=0,SUM(E21:G21)&gt;0),"Новый",AND(SUM(B21:D21)&gt;0,SUM(E21:G21)&gt;0),"Действующий",AND(SUM(B21:D21)&gt;0,SUM(E21:G21)=0),"Спящий",AND(SUM(B21:G21)=0),"Ушедший")</f>
        <v>Действующий</v>
      </c>
      <c r="I21" s="3">
        <f>IF(AND(SUM(B21:D21)=0,SUM(E21:G21)&gt;0),1,0)</f>
        <v>0</v>
      </c>
      <c r="J21" s="3">
        <f t="shared" si="1"/>
        <v>1</v>
      </c>
      <c r="K21" s="3">
        <f t="shared" si="2"/>
        <v>0</v>
      </c>
      <c r="L21" s="3">
        <f t="shared" si="3"/>
        <v>0</v>
      </c>
      <c r="M21" s="3" t="str" cm="1">
        <f t="array" ref="M21">_xlfn.IFS(I21=1,$I$11,J21=1,$J$11,K21=1,$K$11,L21=1,$L$11)</f>
        <v>Действующий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3">
      <c r="A22" s="6" t="s">
        <v>291</v>
      </c>
      <c r="B22" s="6"/>
      <c r="C22" s="6"/>
      <c r="D22" s="6">
        <v>3</v>
      </c>
      <c r="E22" s="6">
        <v>1</v>
      </c>
      <c r="F22" s="6"/>
      <c r="G22" s="6"/>
      <c r="H22" s="9" t="str" cm="1">
        <f t="array" ref="H22">_xlfn.IFS(AND(SUM(B22:D22)=0,SUM(E22:G22)&gt;0),"Новый",AND(SUM(B22:D22)&gt;0,SUM(E22:G22)&gt;0),"Действующий",AND(SUM(B22:D22)&gt;0,SUM(E22:G22)=0),"Спящий",AND(SUM(B22:G22)=0),"Ушедший")</f>
        <v>Действующий</v>
      </c>
      <c r="I22" s="3">
        <f>IF(AND(SUM(B22:D22)=0,SUM(E22:G22)&gt;0),1,0)</f>
        <v>0</v>
      </c>
      <c r="J22" s="3">
        <f t="shared" si="1"/>
        <v>1</v>
      </c>
      <c r="K22" s="3">
        <f t="shared" si="2"/>
        <v>0</v>
      </c>
      <c r="L22" s="3">
        <f t="shared" si="3"/>
        <v>0</v>
      </c>
      <c r="M22" s="3" t="str" cm="1">
        <f t="array" ref="M22">_xlfn.IFS(I22=1,$I$11,J22=1,$J$11,K22=1,$K$11,L22=1,$L$11)</f>
        <v>Действующий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3">
      <c r="A23" s="6" t="s">
        <v>292</v>
      </c>
      <c r="B23" s="6">
        <v>3</v>
      </c>
      <c r="C23" s="6">
        <v>4</v>
      </c>
      <c r="D23" s="6"/>
      <c r="E23" s="6"/>
      <c r="F23" s="6"/>
      <c r="G23" s="6"/>
      <c r="H23" s="9" t="str" cm="1">
        <f t="array" ref="H23">_xlfn.IFS(AND(SUM(B23:D23)=0,SUM(E23:G23)&gt;0),"Новый",AND(SUM(B23:D23)&gt;0,SUM(E23:G23)&gt;0),"Действующий",AND(SUM(B23:D23)&gt;0,SUM(E23:G23)=0),"Спящий",AND(SUM(B23:G23)=0),"Ушедший")</f>
        <v>Спящий</v>
      </c>
      <c r="I23" s="3">
        <f>IF(AND(SUM(B23:D23)=0,SUM(E23:G23)&gt;0),1,0)</f>
        <v>0</v>
      </c>
      <c r="J23" s="3">
        <f t="shared" si="1"/>
        <v>0</v>
      </c>
      <c r="K23" s="3">
        <f t="shared" si="2"/>
        <v>1</v>
      </c>
      <c r="L23" s="3">
        <f t="shared" si="3"/>
        <v>0</v>
      </c>
      <c r="M23" s="3" t="str" cm="1">
        <f t="array" ref="M23">_xlfn.IFS(I23=1,$I$11,J23=1,$J$11,K23=1,$K$11,L23=1,$L$11)</f>
        <v>Спящий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3">
      <c r="A24" s="6" t="s">
        <v>293</v>
      </c>
      <c r="B24" s="6"/>
      <c r="C24" s="6"/>
      <c r="D24" s="6">
        <v>2</v>
      </c>
      <c r="E24" s="6">
        <v>1</v>
      </c>
      <c r="F24" s="6"/>
      <c r="G24" s="6"/>
      <c r="H24" s="9" t="str" cm="1">
        <f t="array" ref="H24">_xlfn.IFS(AND(SUM(B24:D24)=0,SUM(E24:G24)&gt;0),"Новый",AND(SUM(B24:D24)&gt;0,SUM(E24:G24)&gt;0),"Действующий",AND(SUM(B24:D24)&gt;0,SUM(E24:G24)=0),"Спящий",AND(SUM(B24:G24)=0),"Ушедший")</f>
        <v>Действующий</v>
      </c>
      <c r="I24" s="3">
        <f>IF(AND(SUM(B24:D24)=0,SUM(E24:G24)&gt;0),1,0)</f>
        <v>0</v>
      </c>
      <c r="J24" s="3">
        <f t="shared" si="1"/>
        <v>1</v>
      </c>
      <c r="K24" s="3">
        <f t="shared" si="2"/>
        <v>0</v>
      </c>
      <c r="L24" s="3">
        <f t="shared" si="3"/>
        <v>0</v>
      </c>
      <c r="M24" s="3" t="str" cm="1">
        <f t="array" ref="M24">_xlfn.IFS(I24=1,$I$11,J24=1,$J$11,K24=1,$K$11,L24=1,$L$11)</f>
        <v>Действующий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3">
      <c r="A25" s="6" t="s">
        <v>294</v>
      </c>
      <c r="B25" s="6">
        <v>2</v>
      </c>
      <c r="C25" s="6">
        <v>3</v>
      </c>
      <c r="D25" s="6"/>
      <c r="E25" s="6">
        <v>2</v>
      </c>
      <c r="F25" s="6"/>
      <c r="G25" s="6"/>
      <c r="H25" s="9" t="str" cm="1">
        <f t="array" ref="H25">_xlfn.IFS(AND(SUM(B25:D25)=0,SUM(E25:G25)&gt;0),"Новый",AND(SUM(B25:D25)&gt;0,SUM(E25:G25)&gt;0),"Действующий",AND(SUM(B25:D25)&gt;0,SUM(E25:G25)=0),"Спящий",AND(SUM(B25:G25)=0),"Ушедший")</f>
        <v>Действующий</v>
      </c>
      <c r="I25" s="3">
        <f>IF(AND(SUM(B25:D25)=0,SUM(E25:G25)&gt;0),1,0)</f>
        <v>0</v>
      </c>
      <c r="J25" s="3">
        <f t="shared" si="1"/>
        <v>1</v>
      </c>
      <c r="K25" s="3">
        <f t="shared" si="2"/>
        <v>0</v>
      </c>
      <c r="L25" s="3">
        <f t="shared" si="3"/>
        <v>0</v>
      </c>
      <c r="M25" s="3" t="str" cm="1">
        <f t="array" ref="M25">_xlfn.IFS(I25=1,$I$11,J25=1,$J$11,K25=1,$K$11,L25=1,$L$11)</f>
        <v>Действующий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3">
      <c r="A26" s="6" t="s">
        <v>295</v>
      </c>
      <c r="B26" s="6"/>
      <c r="C26" s="6"/>
      <c r="D26" s="6"/>
      <c r="E26" s="6"/>
      <c r="F26" s="6"/>
      <c r="G26" s="6">
        <v>1</v>
      </c>
      <c r="H26" s="9" t="str" cm="1">
        <f t="array" ref="H26">_xlfn.IFS(AND(SUM(B26:D26)=0,SUM(E26:G26)&gt;0),"Новый",AND(SUM(B26:D26)&gt;0,SUM(E26:G26)&gt;0),"Действующий",AND(SUM(B26:D26)&gt;0,SUM(E26:G26)=0),"Спящий",AND(SUM(B26:G26)=0),"Ушедший")</f>
        <v>Новый</v>
      </c>
      <c r="I26" s="3">
        <f>IF(AND(SUM(B26:D26)=0,SUM(E26:G26)&gt;0),1,0)</f>
        <v>1</v>
      </c>
      <c r="J26" s="3">
        <f t="shared" si="1"/>
        <v>0</v>
      </c>
      <c r="K26" s="3">
        <f t="shared" si="2"/>
        <v>0</v>
      </c>
      <c r="L26" s="3">
        <f t="shared" si="3"/>
        <v>0</v>
      </c>
      <c r="M26" s="3" t="str" cm="1">
        <f t="array" ref="M26">_xlfn.IFS(I26=1,$I$11,J26=1,$J$11,K26=1,$K$11,L26=1,$L$11)</f>
        <v>Новый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3">
      <c r="A27" s="6" t="s">
        <v>296</v>
      </c>
      <c r="B27" s="6"/>
      <c r="C27" s="6"/>
      <c r="D27" s="6">
        <v>1</v>
      </c>
      <c r="E27" s="6"/>
      <c r="F27" s="6"/>
      <c r="G27" s="6"/>
      <c r="H27" s="9" t="str" cm="1">
        <f t="array" ref="H27">_xlfn.IFS(AND(SUM(B27:D27)=0,SUM(E27:G27)&gt;0),"Новый",AND(SUM(B27:D27)&gt;0,SUM(E27:G27)&gt;0),"Действующий",AND(SUM(B27:D27)&gt;0,SUM(E27:G27)=0),"Спящий",AND(SUM(B27:G27)=0),"Ушедший")</f>
        <v>Спящий</v>
      </c>
      <c r="I27" s="3">
        <f>IF(AND(SUM(B27:D27)=0,SUM(E27:G27)&gt;0),1,0)</f>
        <v>0</v>
      </c>
      <c r="J27" s="3">
        <f t="shared" si="1"/>
        <v>0</v>
      </c>
      <c r="K27" s="3">
        <f t="shared" si="2"/>
        <v>1</v>
      </c>
      <c r="L27" s="3">
        <f t="shared" si="3"/>
        <v>0</v>
      </c>
      <c r="M27" s="3" t="str" cm="1">
        <f t="array" ref="M27">_xlfn.IFS(I27=1,$I$11,J27=1,$J$11,K27=1,$K$11,L27=1,$L$11)</f>
        <v>Спящий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3">
      <c r="A28" s="6" t="s">
        <v>297</v>
      </c>
      <c r="B28" s="6"/>
      <c r="C28" s="6"/>
      <c r="D28" s="6"/>
      <c r="E28" s="6"/>
      <c r="F28" s="6"/>
      <c r="G28" s="6">
        <v>1</v>
      </c>
      <c r="H28" s="9" t="str" cm="1">
        <f t="array" ref="H28">_xlfn.IFS(AND(SUM(B28:D28)=0,SUM(E28:G28)&gt;0),"Новый",AND(SUM(B28:D28)&gt;0,SUM(E28:G28)&gt;0),"Действующий",AND(SUM(B28:D28)&gt;0,SUM(E28:G28)=0),"Спящий",AND(SUM(B28:G28)=0),"Ушедший")</f>
        <v>Новый</v>
      </c>
      <c r="I28" s="3">
        <f>IF(AND(SUM(B28:D28)=0,SUM(E28:G28)&gt;0),1,0)</f>
        <v>1</v>
      </c>
      <c r="J28" s="3">
        <f t="shared" si="1"/>
        <v>0</v>
      </c>
      <c r="K28" s="3">
        <f t="shared" si="2"/>
        <v>0</v>
      </c>
      <c r="L28" s="3">
        <f t="shared" si="3"/>
        <v>0</v>
      </c>
      <c r="M28" s="3" t="str" cm="1">
        <f t="array" ref="M28">_xlfn.IFS(I28=1,$I$11,J28=1,$J$11,K28=1,$K$11,L28=1,$L$11)</f>
        <v>Новый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3">
      <c r="A29" s="6" t="s">
        <v>298</v>
      </c>
      <c r="B29" s="6">
        <v>4</v>
      </c>
      <c r="C29" s="6">
        <v>5</v>
      </c>
      <c r="D29" s="6">
        <v>1</v>
      </c>
      <c r="E29" s="6">
        <v>3</v>
      </c>
      <c r="F29" s="6">
        <v>2</v>
      </c>
      <c r="G29" s="6">
        <v>1</v>
      </c>
      <c r="H29" s="9" t="str" cm="1">
        <f t="array" ref="H29">_xlfn.IFS(AND(SUM(B29:D29)=0,SUM(E29:G29)&gt;0),"Новый",AND(SUM(B29:D29)&gt;0,SUM(E29:G29)&gt;0),"Действующий",AND(SUM(B29:D29)&gt;0,SUM(E29:G29)=0),"Спящий",AND(SUM(B29:G29)=0),"Ушедший")</f>
        <v>Действующий</v>
      </c>
      <c r="I29" s="3">
        <f>IF(AND(SUM(B29:D29)=0,SUM(E29:G29)&gt;0),1,0)</f>
        <v>0</v>
      </c>
      <c r="J29" s="3">
        <f t="shared" si="1"/>
        <v>1</v>
      </c>
      <c r="K29" s="3">
        <f t="shared" si="2"/>
        <v>0</v>
      </c>
      <c r="L29" s="3">
        <f t="shared" si="3"/>
        <v>0</v>
      </c>
      <c r="M29" s="3" t="str" cm="1">
        <f t="array" ref="M29">_xlfn.IFS(I29=1,$I$11,J29=1,$J$11,K29=1,$K$11,L29=1,$L$11)</f>
        <v>Действующий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3">
      <c r="A30" s="6" t="s">
        <v>299</v>
      </c>
      <c r="B30" s="6"/>
      <c r="C30" s="6"/>
      <c r="D30" s="6"/>
      <c r="E30" s="6"/>
      <c r="F30" s="6"/>
      <c r="G30" s="6">
        <v>8</v>
      </c>
      <c r="H30" s="9" t="str" cm="1">
        <f t="array" ref="H30">_xlfn.IFS(AND(SUM(B30:D30)=0,SUM(E30:G30)&gt;0),"Новый",AND(SUM(B30:D30)&gt;0,SUM(E30:G30)&gt;0),"Действующий",AND(SUM(B30:D30)&gt;0,SUM(E30:G30)=0),"Спящий",AND(SUM(B30:G30)=0),"Ушедший")</f>
        <v>Новый</v>
      </c>
      <c r="I30" s="3">
        <f>IF(AND(SUM(B30:D30)=0,SUM(E30:G30)&gt;0),1,0)</f>
        <v>1</v>
      </c>
      <c r="J30" s="3">
        <f t="shared" si="1"/>
        <v>0</v>
      </c>
      <c r="K30" s="3">
        <f t="shared" si="2"/>
        <v>0</v>
      </c>
      <c r="L30" s="3">
        <f t="shared" si="3"/>
        <v>0</v>
      </c>
      <c r="M30" s="3" t="str" cm="1">
        <f t="array" ref="M30">_xlfn.IFS(I30=1,$I$11,J30=1,$J$11,K30=1,$K$11,L30=1,$L$11)</f>
        <v>Новый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3">
      <c r="A31" s="6" t="s">
        <v>300</v>
      </c>
      <c r="B31" s="6">
        <v>2</v>
      </c>
      <c r="C31" s="6">
        <v>3</v>
      </c>
      <c r="D31" s="6">
        <v>4</v>
      </c>
      <c r="E31" s="6">
        <v>4</v>
      </c>
      <c r="F31" s="6">
        <v>3</v>
      </c>
      <c r="G31" s="6">
        <v>1</v>
      </c>
      <c r="H31" s="9" t="str" cm="1">
        <f t="array" ref="H31">_xlfn.IFS(AND(SUM(B31:D31)=0,SUM(E31:G31)&gt;0),"Новый",AND(SUM(B31:D31)&gt;0,SUM(E31:G31)&gt;0),"Действующий",AND(SUM(B31:D31)&gt;0,SUM(E31:G31)=0),"Спящий",AND(SUM(B31:G31)=0),"Ушедший")</f>
        <v>Действующий</v>
      </c>
      <c r="I31" s="3">
        <f>IF(AND(SUM(B31:D31)=0,SUM(E31:G31)&gt;0),1,0)</f>
        <v>0</v>
      </c>
      <c r="J31" s="3">
        <f t="shared" si="1"/>
        <v>1</v>
      </c>
      <c r="K31" s="3">
        <f t="shared" si="2"/>
        <v>0</v>
      </c>
      <c r="L31" s="3">
        <f t="shared" si="3"/>
        <v>0</v>
      </c>
      <c r="M31" s="3" t="str" cm="1">
        <f t="array" ref="M31">_xlfn.IFS(I31=1,$I$11,J31=1,$J$11,K31=1,$K$11,L31=1,$L$11)</f>
        <v>Действующий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3">
      <c r="A32" s="6" t="s">
        <v>301</v>
      </c>
      <c r="B32" s="6">
        <v>3</v>
      </c>
      <c r="C32" s="6"/>
      <c r="D32" s="6">
        <v>1</v>
      </c>
      <c r="E32" s="6">
        <v>3</v>
      </c>
      <c r="F32" s="6">
        <v>3</v>
      </c>
      <c r="G32" s="6">
        <v>3</v>
      </c>
      <c r="H32" s="9" t="str" cm="1">
        <f t="array" ref="H32">_xlfn.IFS(AND(SUM(B32:D32)=0,SUM(E32:G32)&gt;0),"Новый",AND(SUM(B32:D32)&gt;0,SUM(E32:G32)&gt;0),"Действующий",AND(SUM(B32:D32)&gt;0,SUM(E32:G32)=0),"Спящий",AND(SUM(B32:G32)=0),"Ушедший")</f>
        <v>Действующий</v>
      </c>
      <c r="I32" s="3">
        <f>IF(AND(SUM(B32:D32)=0,SUM(E32:G32)&gt;0),1,0)</f>
        <v>0</v>
      </c>
      <c r="J32" s="3">
        <f t="shared" si="1"/>
        <v>1</v>
      </c>
      <c r="K32" s="3">
        <f t="shared" si="2"/>
        <v>0</v>
      </c>
      <c r="L32" s="3">
        <f t="shared" si="3"/>
        <v>0</v>
      </c>
      <c r="M32" s="3" t="str" cm="1">
        <f t="array" ref="M32">_xlfn.IFS(I32=1,$I$11,J32=1,$J$11,K32=1,$K$11,L32=1,$L$11)</f>
        <v>Действующий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3">
      <c r="A33" s="6" t="s">
        <v>302</v>
      </c>
      <c r="B33" s="6">
        <v>3</v>
      </c>
      <c r="C33" s="6">
        <v>3</v>
      </c>
      <c r="D33" s="6">
        <v>6</v>
      </c>
      <c r="E33" s="6">
        <v>6</v>
      </c>
      <c r="F33" s="6">
        <v>6</v>
      </c>
      <c r="G33" s="6">
        <v>4</v>
      </c>
      <c r="H33" s="9" t="str" cm="1">
        <f t="array" ref="H33">_xlfn.IFS(AND(SUM(B33:D33)=0,SUM(E33:G33)&gt;0),"Новый",AND(SUM(B33:D33)&gt;0,SUM(E33:G33)&gt;0),"Действующий",AND(SUM(B33:D33)&gt;0,SUM(E33:G33)=0),"Спящий",AND(SUM(B33:G33)=0),"Ушедший")</f>
        <v>Действующий</v>
      </c>
      <c r="I33" s="3">
        <f>IF(AND(SUM(B33:D33)=0,SUM(E33:G33)&gt;0),1,0)</f>
        <v>0</v>
      </c>
      <c r="J33" s="3">
        <f t="shared" si="1"/>
        <v>1</v>
      </c>
      <c r="K33" s="3">
        <f t="shared" si="2"/>
        <v>0</v>
      </c>
      <c r="L33" s="3">
        <f t="shared" si="3"/>
        <v>0</v>
      </c>
      <c r="M33" s="3" t="str" cm="1">
        <f t="array" ref="M33">_xlfn.IFS(I33=1,$I$11,J33=1,$J$11,K33=1,$K$11,L33=1,$L$11)</f>
        <v>Действующий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3">
      <c r="A34" s="6" t="s">
        <v>303</v>
      </c>
      <c r="B34" s="6"/>
      <c r="C34" s="6"/>
      <c r="D34" s="6"/>
      <c r="E34" s="6">
        <v>1</v>
      </c>
      <c r="F34" s="6"/>
      <c r="G34" s="6"/>
      <c r="H34" s="9" t="str" cm="1">
        <f t="array" ref="H34">_xlfn.IFS(AND(SUM(B34:D34)=0,SUM(E34:G34)&gt;0),"Новый",AND(SUM(B34:D34)&gt;0,SUM(E34:G34)&gt;0),"Действующий",AND(SUM(B34:D34)&gt;0,SUM(E34:G34)=0),"Спящий",AND(SUM(B34:G34)=0),"Ушедший")</f>
        <v>Новый</v>
      </c>
      <c r="I34" s="3">
        <f>IF(AND(SUM(B34:D34)=0,SUM(E34:G34)&gt;0),1,0)</f>
        <v>1</v>
      </c>
      <c r="J34" s="3">
        <f t="shared" si="1"/>
        <v>0</v>
      </c>
      <c r="K34" s="3">
        <f t="shared" si="2"/>
        <v>0</v>
      </c>
      <c r="L34" s="3">
        <f t="shared" si="3"/>
        <v>0</v>
      </c>
      <c r="M34" s="3" t="str" cm="1">
        <f t="array" ref="M34">_xlfn.IFS(I34=1,$I$11,J34=1,$J$11,K34=1,$K$11,L34=1,$L$11)</f>
        <v>Новый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3">
      <c r="A35" s="6" t="s">
        <v>304</v>
      </c>
      <c r="B35" s="6"/>
      <c r="C35" s="6"/>
      <c r="D35" s="6">
        <v>1</v>
      </c>
      <c r="E35" s="6"/>
      <c r="F35" s="6"/>
      <c r="G35" s="6"/>
      <c r="H35" s="9" t="str" cm="1">
        <f t="array" ref="H35">_xlfn.IFS(AND(SUM(B35:D35)=0,SUM(E35:G35)&gt;0),"Новый",AND(SUM(B35:D35)&gt;0,SUM(E35:G35)&gt;0),"Действующий",AND(SUM(B35:D35)&gt;0,SUM(E35:G35)=0),"Спящий",AND(SUM(B35:G35)=0),"Ушедший")</f>
        <v>Спящий</v>
      </c>
      <c r="I35" s="3">
        <f>IF(AND(SUM(B35:D35)=0,SUM(E35:G35)&gt;0),1,0)</f>
        <v>0</v>
      </c>
      <c r="J35" s="3">
        <f t="shared" si="1"/>
        <v>0</v>
      </c>
      <c r="K35" s="3">
        <f t="shared" si="2"/>
        <v>1</v>
      </c>
      <c r="L35" s="3">
        <f t="shared" si="3"/>
        <v>0</v>
      </c>
      <c r="M35" s="3" t="str" cm="1">
        <f t="array" ref="M35">_xlfn.IFS(I35=1,$I$11,J35=1,$J$11,K35=1,$K$11,L35=1,$L$11)</f>
        <v>Спящий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3">
      <c r="A36" s="6" t="s">
        <v>305</v>
      </c>
      <c r="B36" s="6"/>
      <c r="C36" s="6">
        <v>1</v>
      </c>
      <c r="D36" s="6"/>
      <c r="E36" s="6"/>
      <c r="F36" s="6"/>
      <c r="G36" s="6"/>
      <c r="H36" s="9" t="str" cm="1">
        <f t="array" ref="H36">_xlfn.IFS(AND(SUM(B36:D36)=0,SUM(E36:G36)&gt;0),"Новый",AND(SUM(B36:D36)&gt;0,SUM(E36:G36)&gt;0),"Действующий",AND(SUM(B36:D36)&gt;0,SUM(E36:G36)=0),"Спящий",AND(SUM(B36:G36)=0),"Ушедший")</f>
        <v>Спящий</v>
      </c>
      <c r="I36" s="3">
        <f>IF(AND(SUM(B36:D36)=0,SUM(E36:G36)&gt;0),1,0)</f>
        <v>0</v>
      </c>
      <c r="J36" s="3">
        <f t="shared" si="1"/>
        <v>0</v>
      </c>
      <c r="K36" s="3">
        <f t="shared" si="2"/>
        <v>1</v>
      </c>
      <c r="L36" s="3">
        <f t="shared" si="3"/>
        <v>0</v>
      </c>
      <c r="M36" s="3" t="str" cm="1">
        <f t="array" ref="M36">_xlfn.IFS(I36=1,$I$11,J36=1,$J$11,K36=1,$K$11,L36=1,$L$11)</f>
        <v>Спящий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3">
      <c r="A37" s="6" t="s">
        <v>306</v>
      </c>
      <c r="B37" s="6"/>
      <c r="C37" s="6"/>
      <c r="D37" s="6">
        <v>1</v>
      </c>
      <c r="E37" s="6"/>
      <c r="F37" s="6"/>
      <c r="G37" s="6"/>
      <c r="H37" s="9" t="str" cm="1">
        <f t="array" ref="H37">_xlfn.IFS(AND(SUM(B37:D37)=0,SUM(E37:G37)&gt;0),"Новый",AND(SUM(B37:D37)&gt;0,SUM(E37:G37)&gt;0),"Действующий",AND(SUM(B37:D37)&gt;0,SUM(E37:G37)=0),"Спящий",AND(SUM(B37:G37)=0),"Ушедший")</f>
        <v>Спящий</v>
      </c>
      <c r="I37" s="3">
        <f>IF(AND(SUM(B37:D37)=0,SUM(E37:G37)&gt;0),1,0)</f>
        <v>0</v>
      </c>
      <c r="J37" s="3">
        <f t="shared" si="1"/>
        <v>0</v>
      </c>
      <c r="K37" s="3">
        <f t="shared" si="2"/>
        <v>1</v>
      </c>
      <c r="L37" s="3">
        <f t="shared" si="3"/>
        <v>0</v>
      </c>
      <c r="M37" s="3" t="str" cm="1">
        <f t="array" ref="M37">_xlfn.IFS(I37=1,$I$11,J37=1,$J$11,K37=1,$K$11,L37=1,$L$11)</f>
        <v>Спящий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3">
      <c r="A38" s="6" t="s">
        <v>307</v>
      </c>
      <c r="B38" s="6">
        <v>1</v>
      </c>
      <c r="C38" s="6"/>
      <c r="D38" s="6"/>
      <c r="E38" s="6"/>
      <c r="F38" s="6"/>
      <c r="G38" s="6"/>
      <c r="H38" s="9" t="str" cm="1">
        <f t="array" ref="H38">_xlfn.IFS(AND(SUM(B38:D38)=0,SUM(E38:G38)&gt;0),"Новый",AND(SUM(B38:D38)&gt;0,SUM(E38:G38)&gt;0),"Действующий",AND(SUM(B38:D38)&gt;0,SUM(E38:G38)=0),"Спящий",AND(SUM(B38:G38)=0),"Ушедший")</f>
        <v>Спящий</v>
      </c>
      <c r="I38" s="3">
        <f>IF(AND(SUM(B38:D38)=0,SUM(E38:G38)&gt;0),1,0)</f>
        <v>0</v>
      </c>
      <c r="J38" s="3">
        <f t="shared" si="1"/>
        <v>0</v>
      </c>
      <c r="K38" s="3">
        <f t="shared" si="2"/>
        <v>1</v>
      </c>
      <c r="L38" s="3">
        <f t="shared" si="3"/>
        <v>0</v>
      </c>
      <c r="M38" s="3" t="str" cm="1">
        <f t="array" ref="M38">_xlfn.IFS(I38=1,$I$11,J38=1,$J$11,K38=1,$K$11,L38=1,$L$11)</f>
        <v>Спящий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3">
      <c r="A39" s="6" t="s">
        <v>308</v>
      </c>
      <c r="B39" s="6"/>
      <c r="C39" s="6"/>
      <c r="D39" s="6"/>
      <c r="E39" s="6"/>
      <c r="F39" s="6"/>
      <c r="G39" s="6">
        <v>1</v>
      </c>
      <c r="H39" s="9" t="str" cm="1">
        <f t="array" ref="H39">_xlfn.IFS(AND(SUM(B39:D39)=0,SUM(E39:G39)&gt;0),"Новый",AND(SUM(B39:D39)&gt;0,SUM(E39:G39)&gt;0),"Действующий",AND(SUM(B39:D39)&gt;0,SUM(E39:G39)=0),"Спящий",AND(SUM(B39:G39)=0),"Ушедший")</f>
        <v>Новый</v>
      </c>
      <c r="I39" s="3">
        <f>IF(AND(SUM(B39:D39)=0,SUM(E39:G39)&gt;0),1,0)</f>
        <v>1</v>
      </c>
      <c r="J39" s="3">
        <f t="shared" si="1"/>
        <v>0</v>
      </c>
      <c r="K39" s="3">
        <f t="shared" si="2"/>
        <v>0</v>
      </c>
      <c r="L39" s="3">
        <f t="shared" si="3"/>
        <v>0</v>
      </c>
      <c r="M39" s="3" t="str" cm="1">
        <f t="array" ref="M39">_xlfn.IFS(I39=1,$I$11,J39=1,$J$11,K39=1,$K$11,L39=1,$L$11)</f>
        <v>Новый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3">
      <c r="A40" s="6" t="s">
        <v>309</v>
      </c>
      <c r="B40" s="6"/>
      <c r="C40" s="6">
        <v>1</v>
      </c>
      <c r="D40" s="6">
        <v>1</v>
      </c>
      <c r="E40" s="6">
        <v>1</v>
      </c>
      <c r="F40" s="6"/>
      <c r="G40" s="6"/>
      <c r="H40" s="9" t="str" cm="1">
        <f t="array" ref="H40">_xlfn.IFS(AND(SUM(B40:D40)=0,SUM(E40:G40)&gt;0),"Новый",AND(SUM(B40:D40)&gt;0,SUM(E40:G40)&gt;0),"Действующий",AND(SUM(B40:D40)&gt;0,SUM(E40:G40)=0),"Спящий",AND(SUM(B40:G40)=0),"Ушедший")</f>
        <v>Действующий</v>
      </c>
      <c r="I40" s="3">
        <f>IF(AND(SUM(B40:D40)=0,SUM(E40:G40)&gt;0),1,0)</f>
        <v>0</v>
      </c>
      <c r="J40" s="3">
        <f t="shared" si="1"/>
        <v>1</v>
      </c>
      <c r="K40" s="3">
        <f t="shared" si="2"/>
        <v>0</v>
      </c>
      <c r="L40" s="3">
        <f t="shared" si="3"/>
        <v>0</v>
      </c>
      <c r="M40" s="3" t="str" cm="1">
        <f t="array" ref="M40">_xlfn.IFS(I40=1,$I$11,J40=1,$J$11,K40=1,$K$11,L40=1,$L$11)</f>
        <v>Действующий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3">
      <c r="A41" s="6" t="s">
        <v>310</v>
      </c>
      <c r="B41" s="6"/>
      <c r="C41" s="6"/>
      <c r="D41" s="6"/>
      <c r="E41" s="6"/>
      <c r="F41" s="6"/>
      <c r="G41" s="6">
        <v>1</v>
      </c>
      <c r="H41" s="9" t="str" cm="1">
        <f t="array" ref="H41">_xlfn.IFS(AND(SUM(B41:D41)=0,SUM(E41:G41)&gt;0),"Новый",AND(SUM(B41:D41)&gt;0,SUM(E41:G41)&gt;0),"Действующий",AND(SUM(B41:D41)&gt;0,SUM(E41:G41)=0),"Спящий",AND(SUM(B41:G41)=0),"Ушедший")</f>
        <v>Новый</v>
      </c>
      <c r="I41" s="3">
        <f>IF(AND(SUM(B41:D41)=0,SUM(E41:G41)&gt;0),1,0)</f>
        <v>1</v>
      </c>
      <c r="J41" s="3">
        <f t="shared" si="1"/>
        <v>0</v>
      </c>
      <c r="K41" s="3">
        <f t="shared" si="2"/>
        <v>0</v>
      </c>
      <c r="L41" s="3">
        <f t="shared" si="3"/>
        <v>0</v>
      </c>
      <c r="M41" s="3" t="str" cm="1">
        <f t="array" ref="M41">_xlfn.IFS(I41=1,$I$11,J41=1,$J$11,K41=1,$K$11,L41=1,$L$11)</f>
        <v>Новый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3">
      <c r="A42" s="6" t="s">
        <v>311</v>
      </c>
      <c r="B42" s="6">
        <v>3</v>
      </c>
      <c r="C42" s="6"/>
      <c r="D42" s="6"/>
      <c r="E42" s="6"/>
      <c r="F42" s="6"/>
      <c r="G42" s="6"/>
      <c r="H42" s="9" t="str" cm="1">
        <f t="array" ref="H42">_xlfn.IFS(AND(SUM(B42:D42)=0,SUM(E42:G42)&gt;0),"Новый",AND(SUM(B42:D42)&gt;0,SUM(E42:G42)&gt;0),"Действующий",AND(SUM(B42:D42)&gt;0,SUM(E42:G42)=0),"Спящий",AND(SUM(B42:G42)=0),"Ушедший")</f>
        <v>Спящий</v>
      </c>
      <c r="I42" s="3">
        <f>IF(AND(SUM(B42:D42)=0,SUM(E42:G42)&gt;0),1,0)</f>
        <v>0</v>
      </c>
      <c r="J42" s="3">
        <f t="shared" si="1"/>
        <v>0</v>
      </c>
      <c r="K42" s="3">
        <f t="shared" si="2"/>
        <v>1</v>
      </c>
      <c r="L42" s="3">
        <f t="shared" si="3"/>
        <v>0</v>
      </c>
      <c r="M42" s="3" t="str" cm="1">
        <f t="array" ref="M42">_xlfn.IFS(I42=1,$I$11,J42=1,$J$11,K42=1,$K$11,L42=1,$L$11)</f>
        <v>Спящий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3">
      <c r="A43" s="6" t="s">
        <v>312</v>
      </c>
      <c r="B43" s="6"/>
      <c r="C43" s="6">
        <v>2</v>
      </c>
      <c r="D43" s="6">
        <v>3</v>
      </c>
      <c r="E43" s="6">
        <v>3</v>
      </c>
      <c r="F43" s="6">
        <v>1</v>
      </c>
      <c r="G43" s="6">
        <v>3</v>
      </c>
      <c r="H43" s="9" t="str" cm="1">
        <f t="array" ref="H43">_xlfn.IFS(AND(SUM(B43:D43)=0,SUM(E43:G43)&gt;0),"Новый",AND(SUM(B43:D43)&gt;0,SUM(E43:G43)&gt;0),"Действующий",AND(SUM(B43:D43)&gt;0,SUM(E43:G43)=0),"Спящий",AND(SUM(B43:G43)=0),"Ушедший")</f>
        <v>Действующий</v>
      </c>
      <c r="I43" s="3">
        <f>IF(AND(SUM(B43:D43)=0,SUM(E43:G43)&gt;0),1,0)</f>
        <v>0</v>
      </c>
      <c r="J43" s="3">
        <f t="shared" si="1"/>
        <v>1</v>
      </c>
      <c r="K43" s="3">
        <f t="shared" si="2"/>
        <v>0</v>
      </c>
      <c r="L43" s="3">
        <f t="shared" si="3"/>
        <v>0</v>
      </c>
      <c r="M43" s="3" t="str" cm="1">
        <f t="array" ref="M43">_xlfn.IFS(I43=1,$I$11,J43=1,$J$11,K43=1,$K$11,L43=1,$L$11)</f>
        <v>Действующий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3">
      <c r="A44" s="6" t="s">
        <v>313</v>
      </c>
      <c r="B44" s="6"/>
      <c r="C44" s="6"/>
      <c r="D44" s="6"/>
      <c r="E44" s="6"/>
      <c r="F44" s="6">
        <v>1</v>
      </c>
      <c r="G44" s="6"/>
      <c r="H44" s="9" t="str" cm="1">
        <f t="array" ref="H44">_xlfn.IFS(AND(SUM(B44:D44)=0,SUM(E44:G44)&gt;0),"Новый",AND(SUM(B44:D44)&gt;0,SUM(E44:G44)&gt;0),"Действующий",AND(SUM(B44:D44)&gt;0,SUM(E44:G44)=0),"Спящий",AND(SUM(B44:G44)=0),"Ушедший")</f>
        <v>Новый</v>
      </c>
      <c r="I44" s="3">
        <f>IF(AND(SUM(B44:D44)=0,SUM(E44:G44)&gt;0),1,0)</f>
        <v>1</v>
      </c>
      <c r="J44" s="3">
        <f t="shared" si="1"/>
        <v>0</v>
      </c>
      <c r="K44" s="3">
        <f t="shared" si="2"/>
        <v>0</v>
      </c>
      <c r="L44" s="3">
        <f t="shared" si="3"/>
        <v>0</v>
      </c>
      <c r="M44" s="3" t="str" cm="1">
        <f t="array" ref="M44">_xlfn.IFS(I44=1,$I$11,J44=1,$J$11,K44=1,$K$11,L44=1,$L$11)</f>
        <v>Новый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3">
      <c r="A45" s="6" t="s">
        <v>314</v>
      </c>
      <c r="B45" s="6"/>
      <c r="C45" s="6">
        <v>1</v>
      </c>
      <c r="D45" s="6"/>
      <c r="E45" s="6"/>
      <c r="F45" s="6"/>
      <c r="G45" s="6"/>
      <c r="H45" s="9" t="str" cm="1">
        <f t="array" ref="H45">_xlfn.IFS(AND(SUM(B45:D45)=0,SUM(E45:G45)&gt;0),"Новый",AND(SUM(B45:D45)&gt;0,SUM(E45:G45)&gt;0),"Действующий",AND(SUM(B45:D45)&gt;0,SUM(E45:G45)=0),"Спящий",AND(SUM(B45:G45)=0),"Ушедший")</f>
        <v>Спящий</v>
      </c>
      <c r="I45" s="3">
        <f>IF(AND(SUM(B45:D45)=0,SUM(E45:G45)&gt;0),1,0)</f>
        <v>0</v>
      </c>
      <c r="J45" s="3">
        <f t="shared" si="1"/>
        <v>0</v>
      </c>
      <c r="K45" s="3">
        <f t="shared" si="2"/>
        <v>1</v>
      </c>
      <c r="L45" s="3">
        <f t="shared" si="3"/>
        <v>0</v>
      </c>
      <c r="M45" s="3" t="str" cm="1">
        <f t="array" ref="M45">_xlfn.IFS(I45=1,$I$11,J45=1,$J$11,K45=1,$K$11,L45=1,$L$11)</f>
        <v>Спящий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3">
      <c r="A46" s="6" t="s">
        <v>315</v>
      </c>
      <c r="B46" s="6">
        <v>2</v>
      </c>
      <c r="C46" s="6"/>
      <c r="D46" s="6"/>
      <c r="E46" s="6">
        <v>1</v>
      </c>
      <c r="F46" s="6"/>
      <c r="G46" s="6">
        <v>2</v>
      </c>
      <c r="H46" s="9" t="str" cm="1">
        <f t="array" ref="H46">_xlfn.IFS(AND(SUM(B46:D46)=0,SUM(E46:G46)&gt;0),"Новый",AND(SUM(B46:D46)&gt;0,SUM(E46:G46)&gt;0),"Действующий",AND(SUM(B46:D46)&gt;0,SUM(E46:G46)=0),"Спящий",AND(SUM(B46:G46)=0),"Ушедший")</f>
        <v>Действующий</v>
      </c>
      <c r="I46" s="3">
        <f>IF(AND(SUM(B46:D46)=0,SUM(E46:G46)&gt;0),1,0)</f>
        <v>0</v>
      </c>
      <c r="J46" s="3">
        <f t="shared" si="1"/>
        <v>1</v>
      </c>
      <c r="K46" s="3">
        <f t="shared" si="2"/>
        <v>0</v>
      </c>
      <c r="L46" s="3">
        <f t="shared" si="3"/>
        <v>0</v>
      </c>
      <c r="M46" s="3" t="str" cm="1">
        <f t="array" ref="M46">_xlfn.IFS(I46=1,$I$11,J46=1,$J$11,K46=1,$K$11,L46=1,$L$11)</f>
        <v>Действующий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3">
      <c r="A47" s="6" t="s">
        <v>316</v>
      </c>
      <c r="B47" s="6">
        <v>3</v>
      </c>
      <c r="C47" s="6"/>
      <c r="D47" s="6">
        <v>1</v>
      </c>
      <c r="E47" s="6">
        <v>2</v>
      </c>
      <c r="F47" s="6"/>
      <c r="G47" s="6">
        <v>1</v>
      </c>
      <c r="H47" s="9" t="str" cm="1">
        <f t="array" ref="H47">_xlfn.IFS(AND(SUM(B47:D47)=0,SUM(E47:G47)&gt;0),"Новый",AND(SUM(B47:D47)&gt;0,SUM(E47:G47)&gt;0),"Действующий",AND(SUM(B47:D47)&gt;0,SUM(E47:G47)=0),"Спящий",AND(SUM(B47:G47)=0),"Ушедший")</f>
        <v>Действующий</v>
      </c>
      <c r="I47" s="3">
        <f>IF(AND(SUM(B47:D47)=0,SUM(E47:G47)&gt;0),1,0)</f>
        <v>0</v>
      </c>
      <c r="J47" s="3">
        <f t="shared" si="1"/>
        <v>1</v>
      </c>
      <c r="K47" s="3">
        <f t="shared" si="2"/>
        <v>0</v>
      </c>
      <c r="L47" s="3">
        <f t="shared" si="3"/>
        <v>0</v>
      </c>
      <c r="M47" s="3" t="str" cm="1">
        <f t="array" ref="M47">_xlfn.IFS(I47=1,$I$11,J47=1,$J$11,K47=1,$K$11,L47=1,$L$11)</f>
        <v>Действующий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3">
      <c r="A48" s="6" t="s">
        <v>317</v>
      </c>
      <c r="B48" s="6"/>
      <c r="C48" s="6"/>
      <c r="D48" s="6"/>
      <c r="E48" s="6"/>
      <c r="F48" s="6"/>
      <c r="G48" s="6">
        <v>1</v>
      </c>
      <c r="H48" s="9" t="str" cm="1">
        <f t="array" ref="H48">_xlfn.IFS(AND(SUM(B48:D48)=0,SUM(E48:G48)&gt;0),"Новый",AND(SUM(B48:D48)&gt;0,SUM(E48:G48)&gt;0),"Действующий",AND(SUM(B48:D48)&gt;0,SUM(E48:G48)=0),"Спящий",AND(SUM(B48:G48)=0),"Ушедший")</f>
        <v>Новый</v>
      </c>
      <c r="I48" s="3">
        <f>IF(AND(SUM(B48:D48)=0,SUM(E48:G48)&gt;0),1,0)</f>
        <v>1</v>
      </c>
      <c r="J48" s="3">
        <f t="shared" si="1"/>
        <v>0</v>
      </c>
      <c r="K48" s="3">
        <f t="shared" si="2"/>
        <v>0</v>
      </c>
      <c r="L48" s="3">
        <f t="shared" si="3"/>
        <v>0</v>
      </c>
      <c r="M48" s="3" t="str" cm="1">
        <f t="array" ref="M48">_xlfn.IFS(I48=1,$I$11,J48=1,$J$11,K48=1,$K$11,L48=1,$L$11)</f>
        <v>Новый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3">
      <c r="A49" s="6" t="s">
        <v>318</v>
      </c>
      <c r="B49" s="6"/>
      <c r="C49" s="6"/>
      <c r="D49" s="6"/>
      <c r="E49" s="6">
        <v>1</v>
      </c>
      <c r="F49" s="6"/>
      <c r="G49" s="6">
        <v>1</v>
      </c>
      <c r="H49" s="9" t="str" cm="1">
        <f t="array" ref="H49">_xlfn.IFS(AND(SUM(B49:D49)=0,SUM(E49:G49)&gt;0),"Новый",AND(SUM(B49:D49)&gt;0,SUM(E49:G49)&gt;0),"Действующий",AND(SUM(B49:D49)&gt;0,SUM(E49:G49)=0),"Спящий",AND(SUM(B49:G49)=0),"Ушедший")</f>
        <v>Новый</v>
      </c>
      <c r="I49" s="3">
        <f>IF(AND(SUM(B49:D49)=0,SUM(E49:G49)&gt;0),1,0)</f>
        <v>1</v>
      </c>
      <c r="J49" s="3">
        <f t="shared" si="1"/>
        <v>0</v>
      </c>
      <c r="K49" s="3">
        <f t="shared" si="2"/>
        <v>0</v>
      </c>
      <c r="L49" s="3">
        <f t="shared" si="3"/>
        <v>0</v>
      </c>
      <c r="M49" s="3" t="str" cm="1">
        <f t="array" ref="M49">_xlfn.IFS(I49=1,$I$11,J49=1,$J$11,K49=1,$K$11,L49=1,$L$11)</f>
        <v>Новый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3">
      <c r="A50" s="6" t="s">
        <v>319</v>
      </c>
      <c r="B50" s="6"/>
      <c r="C50" s="6"/>
      <c r="D50" s="6">
        <v>1</v>
      </c>
      <c r="E50" s="6"/>
      <c r="F50" s="6"/>
      <c r="G50" s="6"/>
      <c r="H50" s="9" t="str" cm="1">
        <f t="array" ref="H50">_xlfn.IFS(AND(SUM(B50:D50)=0,SUM(E50:G50)&gt;0),"Новый",AND(SUM(B50:D50)&gt;0,SUM(E50:G50)&gt;0),"Действующий",AND(SUM(B50:D50)&gt;0,SUM(E50:G50)=0),"Спящий",AND(SUM(B50:G50)=0),"Ушедший")</f>
        <v>Спящий</v>
      </c>
      <c r="I50" s="3">
        <f>IF(AND(SUM(B50:D50)=0,SUM(E50:G50)&gt;0),1,0)</f>
        <v>0</v>
      </c>
      <c r="J50" s="3">
        <f t="shared" si="1"/>
        <v>0</v>
      </c>
      <c r="K50" s="3">
        <f t="shared" si="2"/>
        <v>1</v>
      </c>
      <c r="L50" s="3">
        <f t="shared" si="3"/>
        <v>0</v>
      </c>
      <c r="M50" s="3" t="str" cm="1">
        <f t="array" ref="M50">_xlfn.IFS(I50=1,$I$11,J50=1,$J$11,K50=1,$K$11,L50=1,$L$11)</f>
        <v>Спящий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3">
      <c r="A51" s="6" t="s">
        <v>320</v>
      </c>
      <c r="B51" s="6"/>
      <c r="C51" s="6"/>
      <c r="D51" s="6">
        <v>1</v>
      </c>
      <c r="E51" s="6"/>
      <c r="F51" s="6"/>
      <c r="G51" s="6"/>
      <c r="H51" s="9" t="str" cm="1">
        <f t="array" ref="H51">_xlfn.IFS(AND(SUM(B51:D51)=0,SUM(E51:G51)&gt;0),"Новый",AND(SUM(B51:D51)&gt;0,SUM(E51:G51)&gt;0),"Действующий",AND(SUM(B51:D51)&gt;0,SUM(E51:G51)=0),"Спящий",AND(SUM(B51:G51)=0),"Ушедший")</f>
        <v>Спящий</v>
      </c>
      <c r="I51" s="3">
        <f>IF(AND(SUM(B51:D51)=0,SUM(E51:G51)&gt;0),1,0)</f>
        <v>0</v>
      </c>
      <c r="J51" s="3">
        <f t="shared" si="1"/>
        <v>0</v>
      </c>
      <c r="K51" s="3">
        <f t="shared" si="2"/>
        <v>1</v>
      </c>
      <c r="L51" s="3">
        <f t="shared" si="3"/>
        <v>0</v>
      </c>
      <c r="M51" s="3" t="str" cm="1">
        <f t="array" ref="M51">_xlfn.IFS(I51=1,$I$11,J51=1,$J$11,K51=1,$K$11,L51=1,$L$11)</f>
        <v>Спящий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3">
      <c r="A52" s="6" t="s">
        <v>321</v>
      </c>
      <c r="B52" s="6"/>
      <c r="C52" s="6"/>
      <c r="D52" s="6">
        <v>1</v>
      </c>
      <c r="E52" s="6"/>
      <c r="F52" s="6"/>
      <c r="G52" s="6"/>
      <c r="H52" s="9" t="str" cm="1">
        <f t="array" ref="H52">_xlfn.IFS(AND(SUM(B52:D52)=0,SUM(E52:G52)&gt;0),"Новый",AND(SUM(B52:D52)&gt;0,SUM(E52:G52)&gt;0),"Действующий",AND(SUM(B52:D52)&gt;0,SUM(E52:G52)=0),"Спящий",AND(SUM(B52:G52)=0),"Ушедший")</f>
        <v>Спящий</v>
      </c>
      <c r="I52" s="3">
        <f>IF(AND(SUM(B52:D52)=0,SUM(E52:G52)&gt;0),1,0)</f>
        <v>0</v>
      </c>
      <c r="J52" s="3">
        <f t="shared" si="1"/>
        <v>0</v>
      </c>
      <c r="K52" s="3">
        <f t="shared" si="2"/>
        <v>1</v>
      </c>
      <c r="L52" s="3">
        <f t="shared" si="3"/>
        <v>0</v>
      </c>
      <c r="M52" s="3" t="str" cm="1">
        <f t="array" ref="M52">_xlfn.IFS(I52=1,$I$11,J52=1,$J$11,K52=1,$K$11,L52=1,$L$11)</f>
        <v>Спящий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3">
      <c r="A53" s="6" t="s">
        <v>322</v>
      </c>
      <c r="B53" s="6"/>
      <c r="C53" s="6"/>
      <c r="D53" s="6"/>
      <c r="E53" s="6"/>
      <c r="F53" s="6"/>
      <c r="G53" s="6">
        <v>1</v>
      </c>
      <c r="H53" s="9" t="str" cm="1">
        <f t="array" ref="H53">_xlfn.IFS(AND(SUM(B53:D53)=0,SUM(E53:G53)&gt;0),"Новый",AND(SUM(B53:D53)&gt;0,SUM(E53:G53)&gt;0),"Действующий",AND(SUM(B53:D53)&gt;0,SUM(E53:G53)=0),"Спящий",AND(SUM(B53:G53)=0),"Ушедший")</f>
        <v>Новый</v>
      </c>
      <c r="I53" s="3">
        <f>IF(AND(SUM(B53:D53)=0,SUM(E53:G53)&gt;0),1,0)</f>
        <v>1</v>
      </c>
      <c r="J53" s="3">
        <f t="shared" si="1"/>
        <v>0</v>
      </c>
      <c r="K53" s="3">
        <f t="shared" si="2"/>
        <v>0</v>
      </c>
      <c r="L53" s="3">
        <f t="shared" si="3"/>
        <v>0</v>
      </c>
      <c r="M53" s="3" t="str" cm="1">
        <f t="array" ref="M53">_xlfn.IFS(I53=1,$I$11,J53=1,$J$11,K53=1,$K$11,L53=1,$L$11)</f>
        <v>Новый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3">
      <c r="A54" s="6" t="s">
        <v>323</v>
      </c>
      <c r="B54" s="6"/>
      <c r="C54" s="6"/>
      <c r="D54" s="6"/>
      <c r="E54" s="6">
        <v>1</v>
      </c>
      <c r="F54" s="6"/>
      <c r="G54" s="6"/>
      <c r="H54" s="9" t="str" cm="1">
        <f t="array" ref="H54">_xlfn.IFS(AND(SUM(B54:D54)=0,SUM(E54:G54)&gt;0),"Новый",AND(SUM(B54:D54)&gt;0,SUM(E54:G54)&gt;0),"Действующий",AND(SUM(B54:D54)&gt;0,SUM(E54:G54)=0),"Спящий",AND(SUM(B54:G54)=0),"Ушедший")</f>
        <v>Новый</v>
      </c>
      <c r="I54" s="3">
        <f>IF(AND(SUM(B54:D54)=0,SUM(E54:G54)&gt;0),1,0)</f>
        <v>1</v>
      </c>
      <c r="J54" s="3">
        <f t="shared" si="1"/>
        <v>0</v>
      </c>
      <c r="K54" s="3">
        <f t="shared" si="2"/>
        <v>0</v>
      </c>
      <c r="L54" s="3">
        <f t="shared" si="3"/>
        <v>0</v>
      </c>
      <c r="M54" s="3" t="str" cm="1">
        <f t="array" ref="M54">_xlfn.IFS(I54=1,$I$11,J54=1,$J$11,K54=1,$K$11,L54=1,$L$11)</f>
        <v>Новый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3">
      <c r="A55" s="6" t="s">
        <v>324</v>
      </c>
      <c r="B55" s="6">
        <v>1</v>
      </c>
      <c r="C55" s="6"/>
      <c r="D55" s="6"/>
      <c r="E55" s="6">
        <v>2</v>
      </c>
      <c r="F55" s="6"/>
      <c r="G55" s="6">
        <v>1</v>
      </c>
      <c r="H55" s="9" t="str" cm="1">
        <f t="array" ref="H55">_xlfn.IFS(AND(SUM(B55:D55)=0,SUM(E55:G55)&gt;0),"Новый",AND(SUM(B55:D55)&gt;0,SUM(E55:G55)&gt;0),"Действующий",AND(SUM(B55:D55)&gt;0,SUM(E55:G55)=0),"Спящий",AND(SUM(B55:G55)=0),"Ушедший")</f>
        <v>Действующий</v>
      </c>
      <c r="I55" s="3">
        <f>IF(AND(SUM(B55:D55)=0,SUM(E55:G55)&gt;0),1,0)</f>
        <v>0</v>
      </c>
      <c r="J55" s="3">
        <f t="shared" si="1"/>
        <v>1</v>
      </c>
      <c r="K55" s="3">
        <f t="shared" si="2"/>
        <v>0</v>
      </c>
      <c r="L55" s="3">
        <f t="shared" si="3"/>
        <v>0</v>
      </c>
      <c r="M55" s="3" t="str" cm="1">
        <f t="array" ref="M55">_xlfn.IFS(I55=1,$I$11,J55=1,$J$11,K55=1,$K$11,L55=1,$L$11)</f>
        <v>Действующий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3">
      <c r="A56" s="6" t="s">
        <v>325</v>
      </c>
      <c r="B56" s="6">
        <v>1</v>
      </c>
      <c r="C56" s="6"/>
      <c r="D56" s="6"/>
      <c r="E56" s="6"/>
      <c r="F56" s="6"/>
      <c r="G56" s="6"/>
      <c r="H56" s="9" t="str" cm="1">
        <f t="array" ref="H56">_xlfn.IFS(AND(SUM(B56:D56)=0,SUM(E56:G56)&gt;0),"Новый",AND(SUM(B56:D56)&gt;0,SUM(E56:G56)&gt;0),"Действующий",AND(SUM(B56:D56)&gt;0,SUM(E56:G56)=0),"Спящий",AND(SUM(B56:G56)=0),"Ушедший")</f>
        <v>Спящий</v>
      </c>
      <c r="I56" s="3">
        <f>IF(AND(SUM(B56:D56)=0,SUM(E56:G56)&gt;0),1,0)</f>
        <v>0</v>
      </c>
      <c r="J56" s="3">
        <f t="shared" si="1"/>
        <v>0</v>
      </c>
      <c r="K56" s="3">
        <f t="shared" si="2"/>
        <v>1</v>
      </c>
      <c r="L56" s="3">
        <f t="shared" si="3"/>
        <v>0</v>
      </c>
      <c r="M56" s="3" t="str" cm="1">
        <f t="array" ref="M56">_xlfn.IFS(I56=1,$I$11,J56=1,$J$11,K56=1,$K$11,L56=1,$L$11)</f>
        <v>Спящий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3">
      <c r="A57" s="6" t="s">
        <v>326</v>
      </c>
      <c r="B57" s="6"/>
      <c r="C57" s="6"/>
      <c r="D57" s="6"/>
      <c r="E57" s="6">
        <v>2</v>
      </c>
      <c r="F57" s="6"/>
      <c r="G57" s="6">
        <v>1</v>
      </c>
      <c r="H57" s="9" t="str" cm="1">
        <f t="array" ref="H57">_xlfn.IFS(AND(SUM(B57:D57)=0,SUM(E57:G57)&gt;0),"Новый",AND(SUM(B57:D57)&gt;0,SUM(E57:G57)&gt;0),"Действующий",AND(SUM(B57:D57)&gt;0,SUM(E57:G57)=0),"Спящий",AND(SUM(B57:G57)=0),"Ушедший")</f>
        <v>Новый</v>
      </c>
      <c r="I57" s="3">
        <f>IF(AND(SUM(B57:D57)=0,SUM(E57:G57)&gt;0),1,0)</f>
        <v>1</v>
      </c>
      <c r="J57" s="3">
        <f t="shared" si="1"/>
        <v>0</v>
      </c>
      <c r="K57" s="3">
        <f t="shared" si="2"/>
        <v>0</v>
      </c>
      <c r="L57" s="3">
        <f t="shared" si="3"/>
        <v>0</v>
      </c>
      <c r="M57" s="3" t="str" cm="1">
        <f t="array" ref="M57">_xlfn.IFS(I57=1,$I$11,J57=1,$J$11,K57=1,$K$11,L57=1,$L$11)</f>
        <v>Новый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3">
      <c r="A58" s="6" t="s">
        <v>327</v>
      </c>
      <c r="B58" s="6"/>
      <c r="C58" s="6"/>
      <c r="D58" s="6"/>
      <c r="E58" s="6"/>
      <c r="F58" s="6">
        <v>1</v>
      </c>
      <c r="G58" s="6">
        <v>2</v>
      </c>
      <c r="H58" s="9" t="str" cm="1">
        <f t="array" ref="H58">_xlfn.IFS(AND(SUM(B58:D58)=0,SUM(E58:G58)&gt;0),"Новый",AND(SUM(B58:D58)&gt;0,SUM(E58:G58)&gt;0),"Действующий",AND(SUM(B58:D58)&gt;0,SUM(E58:G58)=0),"Спящий",AND(SUM(B58:G58)=0),"Ушедший")</f>
        <v>Новый</v>
      </c>
      <c r="I58" s="3">
        <f>IF(AND(SUM(B58:D58)=0,SUM(E58:G58)&gt;0),1,0)</f>
        <v>1</v>
      </c>
      <c r="J58" s="3">
        <f t="shared" si="1"/>
        <v>0</v>
      </c>
      <c r="K58" s="3">
        <f t="shared" si="2"/>
        <v>0</v>
      </c>
      <c r="L58" s="3">
        <f t="shared" si="3"/>
        <v>0</v>
      </c>
      <c r="M58" s="3" t="str" cm="1">
        <f t="array" ref="M58">_xlfn.IFS(I58=1,$I$11,J58=1,$J$11,K58=1,$K$11,L58=1,$L$11)</f>
        <v>Новый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3">
      <c r="A59" s="6" t="s">
        <v>328</v>
      </c>
      <c r="B59" s="6"/>
      <c r="C59" s="6"/>
      <c r="D59" s="6"/>
      <c r="E59" s="6">
        <v>1</v>
      </c>
      <c r="F59" s="6"/>
      <c r="G59" s="6"/>
      <c r="H59" s="9" t="str" cm="1">
        <f t="array" ref="H59">_xlfn.IFS(AND(SUM(B59:D59)=0,SUM(E59:G59)&gt;0),"Новый",AND(SUM(B59:D59)&gt;0,SUM(E59:G59)&gt;0),"Действующий",AND(SUM(B59:D59)&gt;0,SUM(E59:G59)=0),"Спящий",AND(SUM(B59:G59)=0),"Ушедший")</f>
        <v>Новый</v>
      </c>
      <c r="I59" s="3">
        <f>IF(AND(SUM(B59:D59)=0,SUM(E59:G59)&gt;0),1,0)</f>
        <v>1</v>
      </c>
      <c r="J59" s="3">
        <f t="shared" si="1"/>
        <v>0</v>
      </c>
      <c r="K59" s="3">
        <f t="shared" si="2"/>
        <v>0</v>
      </c>
      <c r="L59" s="3">
        <f t="shared" si="3"/>
        <v>0</v>
      </c>
      <c r="M59" s="3" t="str" cm="1">
        <f t="array" ref="M59">_xlfn.IFS(I59=1,$I$11,J59=1,$J$11,K59=1,$K$11,L59=1,$L$11)</f>
        <v>Новый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3">
      <c r="A60" s="6" t="s">
        <v>329</v>
      </c>
      <c r="B60" s="6">
        <v>1</v>
      </c>
      <c r="C60" s="6"/>
      <c r="D60" s="6"/>
      <c r="E60" s="6"/>
      <c r="F60" s="6"/>
      <c r="G60" s="6"/>
      <c r="H60" s="9" t="str" cm="1">
        <f t="array" ref="H60">_xlfn.IFS(AND(SUM(B60:D60)=0,SUM(E60:G60)&gt;0),"Новый",AND(SUM(B60:D60)&gt;0,SUM(E60:G60)&gt;0),"Действующий",AND(SUM(B60:D60)&gt;0,SUM(E60:G60)=0),"Спящий",AND(SUM(B60:G60)=0),"Ушедший")</f>
        <v>Спящий</v>
      </c>
      <c r="I60" s="3">
        <f>IF(AND(SUM(B60:D60)=0,SUM(E60:G60)&gt;0),1,0)</f>
        <v>0</v>
      </c>
      <c r="J60" s="3">
        <f t="shared" si="1"/>
        <v>0</v>
      </c>
      <c r="K60" s="3">
        <f t="shared" si="2"/>
        <v>1</v>
      </c>
      <c r="L60" s="3">
        <f t="shared" si="3"/>
        <v>0</v>
      </c>
      <c r="M60" s="3" t="str" cm="1">
        <f t="array" ref="M60">_xlfn.IFS(I60=1,$I$11,J60=1,$J$11,K60=1,$K$11,L60=1,$L$11)</f>
        <v>Спящий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3">
      <c r="A61" s="6" t="s">
        <v>330</v>
      </c>
      <c r="B61" s="6"/>
      <c r="C61" s="6"/>
      <c r="D61" s="6"/>
      <c r="E61" s="6">
        <v>2</v>
      </c>
      <c r="F61" s="6"/>
      <c r="G61" s="6"/>
      <c r="H61" s="9" t="str" cm="1">
        <f t="array" ref="H61">_xlfn.IFS(AND(SUM(B61:D61)=0,SUM(E61:G61)&gt;0),"Новый",AND(SUM(B61:D61)&gt;0,SUM(E61:G61)&gt;0),"Действующий",AND(SUM(B61:D61)&gt;0,SUM(E61:G61)=0),"Спящий",AND(SUM(B61:G61)=0),"Ушедший")</f>
        <v>Новый</v>
      </c>
      <c r="I61" s="3">
        <f>IF(AND(SUM(B61:D61)=0,SUM(E61:G61)&gt;0),1,0)</f>
        <v>1</v>
      </c>
      <c r="J61" s="3">
        <f t="shared" si="1"/>
        <v>0</v>
      </c>
      <c r="K61" s="3">
        <f t="shared" si="2"/>
        <v>0</v>
      </c>
      <c r="L61" s="3">
        <f t="shared" si="3"/>
        <v>0</v>
      </c>
      <c r="M61" s="3" t="str" cm="1">
        <f t="array" ref="M61">_xlfn.IFS(I61=1,$I$11,J61=1,$J$11,K61=1,$K$11,L61=1,$L$11)</f>
        <v>Новый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3">
      <c r="A62" s="6" t="s">
        <v>331</v>
      </c>
      <c r="B62" s="6"/>
      <c r="C62" s="6"/>
      <c r="D62" s="6">
        <v>1</v>
      </c>
      <c r="E62" s="6"/>
      <c r="F62" s="6"/>
      <c r="G62" s="6"/>
      <c r="H62" s="9" t="str" cm="1">
        <f t="array" ref="H62">_xlfn.IFS(AND(SUM(B62:D62)=0,SUM(E62:G62)&gt;0),"Новый",AND(SUM(B62:D62)&gt;0,SUM(E62:G62)&gt;0),"Действующий",AND(SUM(B62:D62)&gt;0,SUM(E62:G62)=0),"Спящий",AND(SUM(B62:G62)=0),"Ушедший")</f>
        <v>Спящий</v>
      </c>
      <c r="I62" s="3">
        <f>IF(AND(SUM(B62:D62)=0,SUM(E62:G62)&gt;0),1,0)</f>
        <v>0</v>
      </c>
      <c r="J62" s="3">
        <f t="shared" si="1"/>
        <v>0</v>
      </c>
      <c r="K62" s="3">
        <f t="shared" si="2"/>
        <v>1</v>
      </c>
      <c r="L62" s="3">
        <f t="shared" si="3"/>
        <v>0</v>
      </c>
      <c r="M62" s="3" t="str" cm="1">
        <f t="array" ref="M62">_xlfn.IFS(I62=1,$I$11,J62=1,$J$11,K62=1,$K$11,L62=1,$L$11)</f>
        <v>Спящий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3">
      <c r="A63" s="6" t="s">
        <v>332</v>
      </c>
      <c r="B63" s="6"/>
      <c r="C63" s="6"/>
      <c r="D63" s="6">
        <v>1</v>
      </c>
      <c r="E63" s="6"/>
      <c r="F63" s="6"/>
      <c r="G63" s="6"/>
      <c r="H63" s="9" t="str" cm="1">
        <f t="array" ref="H63">_xlfn.IFS(AND(SUM(B63:D63)=0,SUM(E63:G63)&gt;0),"Новый",AND(SUM(B63:D63)&gt;0,SUM(E63:G63)&gt;0),"Действующий",AND(SUM(B63:D63)&gt;0,SUM(E63:G63)=0),"Спящий",AND(SUM(B63:G63)=0),"Ушедший")</f>
        <v>Спящий</v>
      </c>
      <c r="I63" s="3">
        <f>IF(AND(SUM(B63:D63)=0,SUM(E63:G63)&gt;0),1,0)</f>
        <v>0</v>
      </c>
      <c r="J63" s="3">
        <f t="shared" si="1"/>
        <v>0</v>
      </c>
      <c r="K63" s="3">
        <f t="shared" si="2"/>
        <v>1</v>
      </c>
      <c r="L63" s="3">
        <f t="shared" si="3"/>
        <v>0</v>
      </c>
      <c r="M63" s="3" t="str" cm="1">
        <f t="array" ref="M63">_xlfn.IFS(I63=1,$I$11,J63=1,$J$11,K63=1,$K$11,L63=1,$L$11)</f>
        <v>Спящий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3">
      <c r="A64" s="6" t="s">
        <v>333</v>
      </c>
      <c r="B64" s="6"/>
      <c r="C64" s="6"/>
      <c r="D64" s="6"/>
      <c r="E64" s="6">
        <v>1</v>
      </c>
      <c r="F64" s="6"/>
      <c r="G64" s="6"/>
      <c r="H64" s="9" t="str" cm="1">
        <f t="array" ref="H64">_xlfn.IFS(AND(SUM(B64:D64)=0,SUM(E64:G64)&gt;0),"Новый",AND(SUM(B64:D64)&gt;0,SUM(E64:G64)&gt;0),"Действующий",AND(SUM(B64:D64)&gt;0,SUM(E64:G64)=0),"Спящий",AND(SUM(B64:G64)=0),"Ушедший")</f>
        <v>Новый</v>
      </c>
      <c r="I64" s="3">
        <f>IF(AND(SUM(B64:D64)=0,SUM(E64:G64)&gt;0),1,0)</f>
        <v>1</v>
      </c>
      <c r="J64" s="3">
        <f t="shared" si="1"/>
        <v>0</v>
      </c>
      <c r="K64" s="3">
        <f t="shared" si="2"/>
        <v>0</v>
      </c>
      <c r="L64" s="3">
        <f t="shared" si="3"/>
        <v>0</v>
      </c>
      <c r="M64" s="3" t="str" cm="1">
        <f t="array" ref="M64">_xlfn.IFS(I64=1,$I$11,J64=1,$J$11,K64=1,$K$11,L64=1,$L$11)</f>
        <v>Новый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3">
      <c r="A65" s="6" t="s">
        <v>334</v>
      </c>
      <c r="B65" s="6">
        <v>1</v>
      </c>
      <c r="C65" s="6"/>
      <c r="D65" s="6"/>
      <c r="E65" s="6"/>
      <c r="F65" s="6"/>
      <c r="G65" s="6"/>
      <c r="H65" s="9" t="str" cm="1">
        <f t="array" ref="H65">_xlfn.IFS(AND(SUM(B65:D65)=0,SUM(E65:G65)&gt;0),"Новый",AND(SUM(B65:D65)&gt;0,SUM(E65:G65)&gt;0),"Действующий",AND(SUM(B65:D65)&gt;0,SUM(E65:G65)=0),"Спящий",AND(SUM(B65:G65)=0),"Ушедший")</f>
        <v>Спящий</v>
      </c>
      <c r="I65" s="3">
        <f>IF(AND(SUM(B65:D65)=0,SUM(E65:G65)&gt;0),1,0)</f>
        <v>0</v>
      </c>
      <c r="J65" s="3">
        <f t="shared" si="1"/>
        <v>0</v>
      </c>
      <c r="K65" s="3">
        <f t="shared" si="2"/>
        <v>1</v>
      </c>
      <c r="L65" s="3">
        <f t="shared" si="3"/>
        <v>0</v>
      </c>
      <c r="M65" s="3" t="str" cm="1">
        <f t="array" ref="M65">_xlfn.IFS(I65=1,$I$11,J65=1,$J$11,K65=1,$K$11,L65=1,$L$11)</f>
        <v>Спящий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3">
      <c r="A66" s="6" t="s">
        <v>335</v>
      </c>
      <c r="B66" s="6"/>
      <c r="C66" s="6"/>
      <c r="D66" s="6"/>
      <c r="E66" s="6"/>
      <c r="F66" s="6">
        <v>1</v>
      </c>
      <c r="G66" s="6"/>
      <c r="H66" s="9" t="str" cm="1">
        <f t="array" ref="H66">_xlfn.IFS(AND(SUM(B66:D66)=0,SUM(E66:G66)&gt;0),"Новый",AND(SUM(B66:D66)&gt;0,SUM(E66:G66)&gt;0),"Действующий",AND(SUM(B66:D66)&gt;0,SUM(E66:G66)=0),"Спящий",AND(SUM(B66:G66)=0),"Ушедший")</f>
        <v>Новый</v>
      </c>
      <c r="I66" s="3">
        <f>IF(AND(SUM(B66:D66)=0,SUM(E66:G66)&gt;0),1,0)</f>
        <v>1</v>
      </c>
      <c r="J66" s="3">
        <f t="shared" si="1"/>
        <v>0</v>
      </c>
      <c r="K66" s="3">
        <f t="shared" si="2"/>
        <v>0</v>
      </c>
      <c r="L66" s="3">
        <f t="shared" si="3"/>
        <v>0</v>
      </c>
      <c r="M66" s="3" t="str" cm="1">
        <f t="array" ref="M66">_xlfn.IFS(I66=1,$I$11,J66=1,$J$11,K66=1,$K$11,L66=1,$L$11)</f>
        <v>Новый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3">
      <c r="A67" s="6" t="s">
        <v>336</v>
      </c>
      <c r="B67" s="6"/>
      <c r="C67" s="6"/>
      <c r="D67" s="6">
        <v>1</v>
      </c>
      <c r="E67" s="6"/>
      <c r="F67" s="6"/>
      <c r="G67" s="6"/>
      <c r="H67" s="9" t="str" cm="1">
        <f t="array" ref="H67">_xlfn.IFS(AND(SUM(B67:D67)=0,SUM(E67:G67)&gt;0),"Новый",AND(SUM(B67:D67)&gt;0,SUM(E67:G67)&gt;0),"Действующий",AND(SUM(B67:D67)&gt;0,SUM(E67:G67)=0),"Спящий",AND(SUM(B67:G67)=0),"Ушедший")</f>
        <v>Спящий</v>
      </c>
      <c r="I67" s="3">
        <f>IF(AND(SUM(B67:D67)=0,SUM(E67:G67)&gt;0),1,0)</f>
        <v>0</v>
      </c>
      <c r="J67" s="3">
        <f t="shared" si="1"/>
        <v>0</v>
      </c>
      <c r="K67" s="3">
        <f t="shared" si="2"/>
        <v>1</v>
      </c>
      <c r="L67" s="3">
        <f t="shared" si="3"/>
        <v>0</v>
      </c>
      <c r="M67" s="3" t="str" cm="1">
        <f t="array" ref="M67">_xlfn.IFS(I67=1,$I$11,J67=1,$J$11,K67=1,$K$11,L67=1,$L$11)</f>
        <v>Спящий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3">
      <c r="A68" s="6" t="s">
        <v>337</v>
      </c>
      <c r="B68" s="6"/>
      <c r="C68" s="6"/>
      <c r="D68" s="6"/>
      <c r="E68" s="6"/>
      <c r="F68" s="6">
        <v>2</v>
      </c>
      <c r="G68" s="6"/>
      <c r="H68" s="9" t="str" cm="1">
        <f t="array" ref="H68">_xlfn.IFS(AND(SUM(B68:D68)=0,SUM(E68:G68)&gt;0),"Новый",AND(SUM(B68:D68)&gt;0,SUM(E68:G68)&gt;0),"Действующий",AND(SUM(B68:D68)&gt;0,SUM(E68:G68)=0),"Спящий",AND(SUM(B68:G68)=0),"Ушедший")</f>
        <v>Новый</v>
      </c>
      <c r="I68" s="3">
        <f>IF(AND(SUM(B68:D68)=0,SUM(E68:G68)&gt;0),1,0)</f>
        <v>1</v>
      </c>
      <c r="J68" s="3">
        <f t="shared" si="1"/>
        <v>0</v>
      </c>
      <c r="K68" s="3">
        <f t="shared" si="2"/>
        <v>0</v>
      </c>
      <c r="L68" s="3">
        <f t="shared" si="3"/>
        <v>0</v>
      </c>
      <c r="M68" s="3" t="str" cm="1">
        <f t="array" ref="M68">_xlfn.IFS(I68=1,$I$11,J68=1,$J$11,K68=1,$K$11,L68=1,$L$11)</f>
        <v>Новый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3">
      <c r="A69" s="6" t="s">
        <v>338</v>
      </c>
      <c r="B69" s="6"/>
      <c r="C69" s="6"/>
      <c r="D69" s="6"/>
      <c r="E69" s="6"/>
      <c r="F69" s="6">
        <v>1</v>
      </c>
      <c r="G69" s="6"/>
      <c r="H69" s="9" t="str" cm="1">
        <f t="array" ref="H69">_xlfn.IFS(AND(SUM(B69:D69)=0,SUM(E69:G69)&gt;0),"Новый",AND(SUM(B69:D69)&gt;0,SUM(E69:G69)&gt;0),"Действующий",AND(SUM(B69:D69)&gt;0,SUM(E69:G69)=0),"Спящий",AND(SUM(B69:G69)=0),"Ушедший")</f>
        <v>Новый</v>
      </c>
      <c r="I69" s="3">
        <f>IF(AND(SUM(B69:D69)=0,SUM(E69:G69)&gt;0),1,0)</f>
        <v>1</v>
      </c>
      <c r="J69" s="3">
        <f t="shared" si="1"/>
        <v>0</v>
      </c>
      <c r="K69" s="3">
        <f t="shared" si="2"/>
        <v>0</v>
      </c>
      <c r="L69" s="3">
        <f t="shared" si="3"/>
        <v>0</v>
      </c>
      <c r="M69" s="3" t="str" cm="1">
        <f t="array" ref="M69">_xlfn.IFS(I69=1,$I$11,J69=1,$J$11,K69=1,$K$11,L69=1,$L$11)</f>
        <v>Новый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3">
      <c r="A70" s="6" t="s">
        <v>339</v>
      </c>
      <c r="B70" s="6"/>
      <c r="C70" s="6"/>
      <c r="D70" s="6"/>
      <c r="E70" s="6">
        <v>1</v>
      </c>
      <c r="F70" s="6"/>
      <c r="G70" s="6"/>
      <c r="H70" s="9" t="str" cm="1">
        <f t="array" ref="H70">_xlfn.IFS(AND(SUM(B70:D70)=0,SUM(E70:G70)&gt;0),"Новый",AND(SUM(B70:D70)&gt;0,SUM(E70:G70)&gt;0),"Действующий",AND(SUM(B70:D70)&gt;0,SUM(E70:G70)=0),"Спящий",AND(SUM(B70:G70)=0),"Ушедший")</f>
        <v>Новый</v>
      </c>
      <c r="I70" s="3">
        <f>IF(AND(SUM(B70:D70)=0,SUM(E70:G70)&gt;0),1,0)</f>
        <v>1</v>
      </c>
      <c r="J70" s="3">
        <f t="shared" si="1"/>
        <v>0</v>
      </c>
      <c r="K70" s="3">
        <f t="shared" si="2"/>
        <v>0</v>
      </c>
      <c r="L70" s="3">
        <f t="shared" si="3"/>
        <v>0</v>
      </c>
      <c r="M70" s="3" t="str" cm="1">
        <f t="array" ref="M70">_xlfn.IFS(I70=1,$I$11,J70=1,$J$11,K70=1,$K$11,L70=1,$L$11)</f>
        <v>Новый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3">
      <c r="A71" s="6" t="s">
        <v>340</v>
      </c>
      <c r="B71" s="6"/>
      <c r="C71" s="6"/>
      <c r="D71" s="6"/>
      <c r="E71" s="6"/>
      <c r="F71" s="6">
        <v>1</v>
      </c>
      <c r="G71" s="6"/>
      <c r="H71" s="9" t="str" cm="1">
        <f t="array" ref="H71">_xlfn.IFS(AND(SUM(B71:D71)=0,SUM(E71:G71)&gt;0),"Новый",AND(SUM(B71:D71)&gt;0,SUM(E71:G71)&gt;0),"Действующий",AND(SUM(B71:D71)&gt;0,SUM(E71:G71)=0),"Спящий",AND(SUM(B71:G71)=0),"Ушедший")</f>
        <v>Новый</v>
      </c>
      <c r="I71" s="3">
        <f>IF(AND(SUM(B71:D71)=0,SUM(E71:G71)&gt;0),1,0)</f>
        <v>1</v>
      </c>
      <c r="J71" s="3">
        <f t="shared" si="1"/>
        <v>0</v>
      </c>
      <c r="K71" s="3">
        <f t="shared" si="2"/>
        <v>0</v>
      </c>
      <c r="L71" s="3">
        <f t="shared" si="3"/>
        <v>0</v>
      </c>
      <c r="M71" s="3" t="str" cm="1">
        <f t="array" ref="M71">_xlfn.IFS(I71=1,$I$11,J71=1,$J$11,K71=1,$K$11,L71=1,$L$11)</f>
        <v>Новый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3">
      <c r="A72" s="6" t="s">
        <v>341</v>
      </c>
      <c r="B72" s="6"/>
      <c r="C72" s="6"/>
      <c r="D72" s="6"/>
      <c r="E72" s="6">
        <v>1</v>
      </c>
      <c r="F72" s="6"/>
      <c r="G72" s="6">
        <v>1</v>
      </c>
      <c r="H72" s="9" t="str" cm="1">
        <f t="array" ref="H72">_xlfn.IFS(AND(SUM(B72:D72)=0,SUM(E72:G72)&gt;0),"Новый",AND(SUM(B72:D72)&gt;0,SUM(E72:G72)&gt;0),"Действующий",AND(SUM(B72:D72)&gt;0,SUM(E72:G72)=0),"Спящий",AND(SUM(B72:G72)=0),"Ушедший")</f>
        <v>Новый</v>
      </c>
      <c r="I72" s="3">
        <f>IF(AND(SUM(B72:D72)=0,SUM(E72:G72)&gt;0),1,0)</f>
        <v>1</v>
      </c>
      <c r="J72" s="3">
        <f t="shared" si="1"/>
        <v>0</v>
      </c>
      <c r="K72" s="3">
        <f t="shared" si="2"/>
        <v>0</v>
      </c>
      <c r="L72" s="3">
        <f t="shared" si="3"/>
        <v>0</v>
      </c>
      <c r="M72" s="3" t="str" cm="1">
        <f t="array" ref="M72">_xlfn.IFS(I72=1,$I$11,J72=1,$J$11,K72=1,$K$11,L72=1,$L$11)</f>
        <v>Новый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3">
      <c r="A73" s="6" t="s">
        <v>342</v>
      </c>
      <c r="B73" s="6"/>
      <c r="C73" s="6">
        <v>2</v>
      </c>
      <c r="D73" s="6">
        <v>8</v>
      </c>
      <c r="E73" s="6">
        <v>7</v>
      </c>
      <c r="F73" s="6">
        <v>1</v>
      </c>
      <c r="G73" s="6">
        <v>3</v>
      </c>
      <c r="H73" s="9" t="str" cm="1">
        <f t="array" ref="H73">_xlfn.IFS(AND(SUM(B73:D73)=0,SUM(E73:G73)&gt;0),"Новый",AND(SUM(B73:D73)&gt;0,SUM(E73:G73)&gt;0),"Действующий",AND(SUM(B73:D73)&gt;0,SUM(E73:G73)=0),"Спящий",AND(SUM(B73:G73)=0),"Ушедший")</f>
        <v>Действующий</v>
      </c>
      <c r="I73" s="3">
        <f>IF(AND(SUM(B73:D73)=0,SUM(E73:G73)&gt;0),1,0)</f>
        <v>0</v>
      </c>
      <c r="J73" s="3">
        <f t="shared" si="1"/>
        <v>1</v>
      </c>
      <c r="K73" s="3">
        <f t="shared" si="2"/>
        <v>0</v>
      </c>
      <c r="L73" s="3">
        <f t="shared" si="3"/>
        <v>0</v>
      </c>
      <c r="M73" s="3" t="str" cm="1">
        <f t="array" ref="M73">_xlfn.IFS(I73=1,$I$11,J73=1,$J$11,K73=1,$K$11,L73=1,$L$11)</f>
        <v>Действующий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3">
      <c r="A74" s="6" t="s">
        <v>343</v>
      </c>
      <c r="B74" s="6">
        <v>2</v>
      </c>
      <c r="C74" s="6"/>
      <c r="D74" s="6"/>
      <c r="E74" s="6">
        <v>1</v>
      </c>
      <c r="F74" s="6"/>
      <c r="G74" s="6"/>
      <c r="H74" s="9" t="str" cm="1">
        <f t="array" ref="H74">_xlfn.IFS(AND(SUM(B74:D74)=0,SUM(E74:G74)&gt;0),"Новый",AND(SUM(B74:D74)&gt;0,SUM(E74:G74)&gt;0),"Действующий",AND(SUM(B74:D74)&gt;0,SUM(E74:G74)=0),"Спящий",AND(SUM(B74:G74)=0),"Ушедший")</f>
        <v>Действующий</v>
      </c>
      <c r="I74" s="3">
        <f>IF(AND(SUM(B74:D74)=0,SUM(E74:G74)&gt;0),1,0)</f>
        <v>0</v>
      </c>
      <c r="J74" s="3">
        <f t="shared" si="1"/>
        <v>1</v>
      </c>
      <c r="K74" s="3">
        <f t="shared" si="2"/>
        <v>0</v>
      </c>
      <c r="L74" s="3">
        <f t="shared" si="3"/>
        <v>0</v>
      </c>
      <c r="M74" s="3" t="str" cm="1">
        <f t="array" ref="M74">_xlfn.IFS(I74=1,$I$11,J74=1,$J$11,K74=1,$K$11,L74=1,$L$11)</f>
        <v>Действующий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3">
      <c r="A75" s="6" t="s">
        <v>344</v>
      </c>
      <c r="B75" s="6"/>
      <c r="C75" s="6"/>
      <c r="D75" s="6"/>
      <c r="E75" s="6">
        <v>1</v>
      </c>
      <c r="F75" s="6">
        <v>1</v>
      </c>
      <c r="G75" s="6"/>
      <c r="H75" s="9" t="str" cm="1">
        <f t="array" ref="H75">_xlfn.IFS(AND(SUM(B75:D75)=0,SUM(E75:G75)&gt;0),"Новый",AND(SUM(B75:D75)&gt;0,SUM(E75:G75)&gt;0),"Действующий",AND(SUM(B75:D75)&gt;0,SUM(E75:G75)=0),"Спящий",AND(SUM(B75:G75)=0),"Ушедший")</f>
        <v>Новый</v>
      </c>
      <c r="I75" s="3">
        <f>IF(AND(SUM(B75:D75)=0,SUM(E75:G75)&gt;0),1,0)</f>
        <v>1</v>
      </c>
      <c r="J75" s="3">
        <f t="shared" si="1"/>
        <v>0</v>
      </c>
      <c r="K75" s="3">
        <f t="shared" si="2"/>
        <v>0</v>
      </c>
      <c r="L75" s="3">
        <f t="shared" si="3"/>
        <v>0</v>
      </c>
      <c r="M75" s="3" t="str" cm="1">
        <f t="array" ref="M75">_xlfn.IFS(I75=1,$I$11,J75=1,$J$11,K75=1,$K$11,L75=1,$L$11)</f>
        <v>Новый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3">
      <c r="A76" s="6" t="s">
        <v>345</v>
      </c>
      <c r="B76" s="6"/>
      <c r="C76" s="6"/>
      <c r="D76" s="6"/>
      <c r="E76" s="6">
        <v>1</v>
      </c>
      <c r="F76" s="6"/>
      <c r="G76" s="6"/>
      <c r="H76" s="9" t="str" cm="1">
        <f t="array" ref="H76">_xlfn.IFS(AND(SUM(B76:D76)=0,SUM(E76:G76)&gt;0),"Новый",AND(SUM(B76:D76)&gt;0,SUM(E76:G76)&gt;0),"Действующий",AND(SUM(B76:D76)&gt;0,SUM(E76:G76)=0),"Спящий",AND(SUM(B76:G76)=0),"Ушедший")</f>
        <v>Новый</v>
      </c>
      <c r="I76" s="3">
        <f>IF(AND(SUM(B76:D76)=0,SUM(E76:G76)&gt;0),1,0)</f>
        <v>1</v>
      </c>
      <c r="J76" s="3">
        <f t="shared" si="1"/>
        <v>0</v>
      </c>
      <c r="K76" s="3">
        <f t="shared" si="2"/>
        <v>0</v>
      </c>
      <c r="L76" s="3">
        <f t="shared" si="3"/>
        <v>0</v>
      </c>
      <c r="M76" s="3" t="str" cm="1">
        <f t="array" ref="M76">_xlfn.IFS(I76=1,$I$11,J76=1,$J$11,K76=1,$K$11,L76=1,$L$11)</f>
        <v>Новый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3">
      <c r="A77" s="6" t="s">
        <v>346</v>
      </c>
      <c r="B77" s="6"/>
      <c r="C77" s="6"/>
      <c r="D77" s="6">
        <v>1</v>
      </c>
      <c r="E77" s="6"/>
      <c r="F77" s="6"/>
      <c r="G77" s="6"/>
      <c r="H77" s="9" t="str" cm="1">
        <f t="array" ref="H77">_xlfn.IFS(AND(SUM(B77:D77)=0,SUM(E77:G77)&gt;0),"Новый",AND(SUM(B77:D77)&gt;0,SUM(E77:G77)&gt;0),"Действующий",AND(SUM(B77:D77)&gt;0,SUM(E77:G77)=0),"Спящий",AND(SUM(B77:G77)=0),"Ушедший")</f>
        <v>Спящий</v>
      </c>
      <c r="I77" s="3">
        <f>IF(AND(SUM(B77:D77)=0,SUM(E77:G77)&gt;0),1,0)</f>
        <v>0</v>
      </c>
      <c r="J77" s="3">
        <f t="shared" ref="J77:J140" si="4">IF(AND(SUM(B77:D77)&gt;0,SUM(E77:G77)&gt;0),1,0)</f>
        <v>0</v>
      </c>
      <c r="K77" s="3">
        <f t="shared" ref="K77:K140" si="5">IF(AND(SUM(B77:D77)&gt;0,SUM(E77:G77)=0),1,0)</f>
        <v>1</v>
      </c>
      <c r="L77" s="3">
        <f t="shared" ref="L77:L140" si="6">IF(AND(SUM(B77:D77)=0,SUM(E77:G77)=0),1,0)</f>
        <v>0</v>
      </c>
      <c r="M77" s="3" t="str" cm="1">
        <f t="array" ref="M77">_xlfn.IFS(I77=1,$I$11,J77=1,$J$11,K77=1,$K$11,L77=1,$L$11)</f>
        <v>Спящий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3">
      <c r="A78" s="6" t="s">
        <v>347</v>
      </c>
      <c r="B78" s="6"/>
      <c r="C78" s="6"/>
      <c r="D78" s="6"/>
      <c r="E78" s="6"/>
      <c r="F78" s="6">
        <v>1</v>
      </c>
      <c r="G78" s="6"/>
      <c r="H78" s="9" t="str" cm="1">
        <f t="array" ref="H78">_xlfn.IFS(AND(SUM(B78:D78)=0,SUM(E78:G78)&gt;0),"Новый",AND(SUM(B78:D78)&gt;0,SUM(E78:G78)&gt;0),"Действующий",AND(SUM(B78:D78)&gt;0,SUM(E78:G78)=0),"Спящий",AND(SUM(B78:G78)=0),"Ушедший")</f>
        <v>Новый</v>
      </c>
      <c r="I78" s="3">
        <f>IF(AND(SUM(B78:D78)=0,SUM(E78:G78)&gt;0),1,0)</f>
        <v>1</v>
      </c>
      <c r="J78" s="3">
        <f t="shared" si="4"/>
        <v>0</v>
      </c>
      <c r="K78" s="3">
        <f t="shared" si="5"/>
        <v>0</v>
      </c>
      <c r="L78" s="3">
        <f t="shared" si="6"/>
        <v>0</v>
      </c>
      <c r="M78" s="3" t="str" cm="1">
        <f t="array" ref="M78">_xlfn.IFS(I78=1,$I$11,J78=1,$J$11,K78=1,$K$11,L78=1,$L$11)</f>
        <v>Новый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3">
      <c r="A79" s="6" t="s">
        <v>348</v>
      </c>
      <c r="B79" s="6"/>
      <c r="C79" s="6"/>
      <c r="D79" s="6"/>
      <c r="E79" s="6"/>
      <c r="F79" s="6">
        <v>1</v>
      </c>
      <c r="G79" s="6"/>
      <c r="H79" s="9" t="str" cm="1">
        <f t="array" ref="H79">_xlfn.IFS(AND(SUM(B79:D79)=0,SUM(E79:G79)&gt;0),"Новый",AND(SUM(B79:D79)&gt;0,SUM(E79:G79)&gt;0),"Действующий",AND(SUM(B79:D79)&gt;0,SUM(E79:G79)=0),"Спящий",AND(SUM(B79:G79)=0),"Ушедший")</f>
        <v>Новый</v>
      </c>
      <c r="I79" s="3">
        <f>IF(AND(SUM(B79:D79)=0,SUM(E79:G79)&gt;0),1,0)</f>
        <v>1</v>
      </c>
      <c r="J79" s="3">
        <f t="shared" si="4"/>
        <v>0</v>
      </c>
      <c r="K79" s="3">
        <f t="shared" si="5"/>
        <v>0</v>
      </c>
      <c r="L79" s="3">
        <f t="shared" si="6"/>
        <v>0</v>
      </c>
      <c r="M79" s="3" t="str" cm="1">
        <f t="array" ref="M79">_xlfn.IFS(I79=1,$I$11,J79=1,$J$11,K79=1,$K$11,L79=1,$L$11)</f>
        <v>Новый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3">
      <c r="A80" s="6" t="s">
        <v>349</v>
      </c>
      <c r="B80" s="6"/>
      <c r="C80" s="6">
        <v>1</v>
      </c>
      <c r="D80" s="6"/>
      <c r="E80" s="6"/>
      <c r="F80" s="6"/>
      <c r="G80" s="6"/>
      <c r="H80" s="9" t="str" cm="1">
        <f t="array" ref="H80">_xlfn.IFS(AND(SUM(B80:D80)=0,SUM(E80:G80)&gt;0),"Новый",AND(SUM(B80:D80)&gt;0,SUM(E80:G80)&gt;0),"Действующий",AND(SUM(B80:D80)&gt;0,SUM(E80:G80)=0),"Спящий",AND(SUM(B80:G80)=0),"Ушедший")</f>
        <v>Спящий</v>
      </c>
      <c r="I80" s="3">
        <f>IF(AND(SUM(B80:D80)=0,SUM(E80:G80)&gt;0),1,0)</f>
        <v>0</v>
      </c>
      <c r="J80" s="3">
        <f t="shared" si="4"/>
        <v>0</v>
      </c>
      <c r="K80" s="3">
        <f t="shared" si="5"/>
        <v>1</v>
      </c>
      <c r="L80" s="3">
        <f t="shared" si="6"/>
        <v>0</v>
      </c>
      <c r="M80" s="3" t="str" cm="1">
        <f t="array" ref="M80">_xlfn.IFS(I80=1,$I$11,J80=1,$J$11,K80=1,$K$11,L80=1,$L$11)</f>
        <v>Спящий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3">
      <c r="A81" s="6" t="s">
        <v>350</v>
      </c>
      <c r="B81" s="6">
        <v>1</v>
      </c>
      <c r="C81" s="6"/>
      <c r="D81" s="6">
        <v>1</v>
      </c>
      <c r="E81" s="6"/>
      <c r="F81" s="6"/>
      <c r="G81" s="6"/>
      <c r="H81" s="9" t="str" cm="1">
        <f t="array" ref="H81">_xlfn.IFS(AND(SUM(B81:D81)=0,SUM(E81:G81)&gt;0),"Новый",AND(SUM(B81:D81)&gt;0,SUM(E81:G81)&gt;0),"Действующий",AND(SUM(B81:D81)&gt;0,SUM(E81:G81)=0),"Спящий",AND(SUM(B81:G81)=0),"Ушедший")</f>
        <v>Спящий</v>
      </c>
      <c r="I81" s="3">
        <f>IF(AND(SUM(B81:D81)=0,SUM(E81:G81)&gt;0),1,0)</f>
        <v>0</v>
      </c>
      <c r="J81" s="3">
        <f t="shared" si="4"/>
        <v>0</v>
      </c>
      <c r="K81" s="3">
        <f t="shared" si="5"/>
        <v>1</v>
      </c>
      <c r="L81" s="3">
        <f t="shared" si="6"/>
        <v>0</v>
      </c>
      <c r="M81" s="3" t="str" cm="1">
        <f t="array" ref="M81">_xlfn.IFS(I81=1,$I$11,J81=1,$J$11,K81=1,$K$11,L81=1,$L$11)</f>
        <v>Спящий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3">
      <c r="A82" s="6" t="s">
        <v>351</v>
      </c>
      <c r="B82" s="6"/>
      <c r="C82" s="6"/>
      <c r="D82" s="6"/>
      <c r="E82" s="6">
        <v>1</v>
      </c>
      <c r="F82" s="6"/>
      <c r="G82" s="6"/>
      <c r="H82" s="9" t="str" cm="1">
        <f t="array" ref="H82">_xlfn.IFS(AND(SUM(B82:D82)=0,SUM(E82:G82)&gt;0),"Новый",AND(SUM(B82:D82)&gt;0,SUM(E82:G82)&gt;0),"Действующий",AND(SUM(B82:D82)&gt;0,SUM(E82:G82)=0),"Спящий",AND(SUM(B82:G82)=0),"Ушедший")</f>
        <v>Новый</v>
      </c>
      <c r="I82" s="3">
        <f>IF(AND(SUM(B82:D82)=0,SUM(E82:G82)&gt;0),1,0)</f>
        <v>1</v>
      </c>
      <c r="J82" s="3">
        <f t="shared" si="4"/>
        <v>0</v>
      </c>
      <c r="K82" s="3">
        <f t="shared" si="5"/>
        <v>0</v>
      </c>
      <c r="L82" s="3">
        <f t="shared" si="6"/>
        <v>0</v>
      </c>
      <c r="M82" s="3" t="str" cm="1">
        <f t="array" ref="M82">_xlfn.IFS(I82=1,$I$11,J82=1,$J$11,K82=1,$K$11,L82=1,$L$11)</f>
        <v>Новый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3">
      <c r="A83" s="6" t="s">
        <v>352</v>
      </c>
      <c r="B83" s="6"/>
      <c r="C83" s="6"/>
      <c r="D83" s="6"/>
      <c r="E83" s="6">
        <v>2</v>
      </c>
      <c r="F83" s="6">
        <v>1</v>
      </c>
      <c r="G83" s="6"/>
      <c r="H83" s="9" t="str" cm="1">
        <f t="array" ref="H83">_xlfn.IFS(AND(SUM(B83:D83)=0,SUM(E83:G83)&gt;0),"Новый",AND(SUM(B83:D83)&gt;0,SUM(E83:G83)&gt;0),"Действующий",AND(SUM(B83:D83)&gt;0,SUM(E83:G83)=0),"Спящий",AND(SUM(B83:G83)=0),"Ушедший")</f>
        <v>Новый</v>
      </c>
      <c r="I83" s="3">
        <f>IF(AND(SUM(B83:D83)=0,SUM(E83:G83)&gt;0),1,0)</f>
        <v>1</v>
      </c>
      <c r="J83" s="3">
        <f t="shared" si="4"/>
        <v>0</v>
      </c>
      <c r="K83" s="3">
        <f t="shared" si="5"/>
        <v>0</v>
      </c>
      <c r="L83" s="3">
        <f t="shared" si="6"/>
        <v>0</v>
      </c>
      <c r="M83" s="3" t="str" cm="1">
        <f t="array" ref="M83">_xlfn.IFS(I83=1,$I$11,J83=1,$J$11,K83=1,$K$11,L83=1,$L$11)</f>
        <v>Новый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3">
      <c r="A84" s="6" t="s">
        <v>353</v>
      </c>
      <c r="B84" s="6"/>
      <c r="C84" s="6">
        <v>2</v>
      </c>
      <c r="D84" s="6"/>
      <c r="E84" s="6"/>
      <c r="F84" s="6"/>
      <c r="G84" s="6"/>
      <c r="H84" s="9" t="str" cm="1">
        <f t="array" ref="H84">_xlfn.IFS(AND(SUM(B84:D84)=0,SUM(E84:G84)&gt;0),"Новый",AND(SUM(B84:D84)&gt;0,SUM(E84:G84)&gt;0),"Действующий",AND(SUM(B84:D84)&gt;0,SUM(E84:G84)=0),"Спящий",AND(SUM(B84:G84)=0),"Ушедший")</f>
        <v>Спящий</v>
      </c>
      <c r="I84" s="3">
        <f>IF(AND(SUM(B84:D84)=0,SUM(E84:G84)&gt;0),1,0)</f>
        <v>0</v>
      </c>
      <c r="J84" s="3">
        <f t="shared" si="4"/>
        <v>0</v>
      </c>
      <c r="K84" s="3">
        <f t="shared" si="5"/>
        <v>1</v>
      </c>
      <c r="L84" s="3">
        <f t="shared" si="6"/>
        <v>0</v>
      </c>
      <c r="M84" s="3" t="str" cm="1">
        <f t="array" ref="M84">_xlfn.IFS(I84=1,$I$11,J84=1,$J$11,K84=1,$K$11,L84=1,$L$11)</f>
        <v>Спящий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3">
      <c r="A85" s="6" t="s">
        <v>354</v>
      </c>
      <c r="B85" s="6"/>
      <c r="C85" s="6"/>
      <c r="D85" s="6"/>
      <c r="E85" s="6"/>
      <c r="F85" s="6">
        <v>1</v>
      </c>
      <c r="G85" s="6"/>
      <c r="H85" s="9" t="str" cm="1">
        <f t="array" ref="H85">_xlfn.IFS(AND(SUM(B85:D85)=0,SUM(E85:G85)&gt;0),"Новый",AND(SUM(B85:D85)&gt;0,SUM(E85:G85)&gt;0),"Действующий",AND(SUM(B85:D85)&gt;0,SUM(E85:G85)=0),"Спящий",AND(SUM(B85:G85)=0),"Ушедший")</f>
        <v>Новый</v>
      </c>
      <c r="I85" s="3">
        <f>IF(AND(SUM(B85:D85)=0,SUM(E85:G85)&gt;0),1,0)</f>
        <v>1</v>
      </c>
      <c r="J85" s="3">
        <f t="shared" si="4"/>
        <v>0</v>
      </c>
      <c r="K85" s="3">
        <f t="shared" si="5"/>
        <v>0</v>
      </c>
      <c r="L85" s="3">
        <f t="shared" si="6"/>
        <v>0</v>
      </c>
      <c r="M85" s="3" t="str" cm="1">
        <f t="array" ref="M85">_xlfn.IFS(I85=1,$I$11,J85=1,$J$11,K85=1,$K$11,L85=1,$L$11)</f>
        <v>Новый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3">
      <c r="A86" s="6" t="s">
        <v>355</v>
      </c>
      <c r="B86" s="6"/>
      <c r="C86" s="6"/>
      <c r="D86" s="6"/>
      <c r="E86" s="6"/>
      <c r="F86" s="6"/>
      <c r="G86" s="6"/>
      <c r="H86" s="9" t="str" cm="1">
        <f t="array" ref="H86">_xlfn.IFS(AND(SUM(B86:D86)=0,SUM(E86:G86)&gt;0),"Новый",AND(SUM(B86:D86)&gt;0,SUM(E86:G86)&gt;0),"Действующий",AND(SUM(B86:D86)&gt;0,SUM(E86:G86)=0),"Спящий",AND(SUM(B86:G86)=0),"Ушедший")</f>
        <v>Ушедший</v>
      </c>
      <c r="I86" s="3">
        <f>IF(AND(SUM(B86:D86)=0,SUM(E86:G86)&gt;0),1,0)</f>
        <v>0</v>
      </c>
      <c r="J86" s="3">
        <f t="shared" si="4"/>
        <v>0</v>
      </c>
      <c r="K86" s="3">
        <f t="shared" si="5"/>
        <v>0</v>
      </c>
      <c r="L86" s="3">
        <f t="shared" si="6"/>
        <v>1</v>
      </c>
      <c r="M86" s="3" t="str" cm="1">
        <f t="array" ref="M86">_xlfn.IFS(I86=1,$I$11,J86=1,$J$11,K86=1,$K$11,L86=1,$L$11)</f>
        <v>Ушедший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 x14ac:dyDescent="0.3">
      <c r="A87" s="6" t="s">
        <v>356</v>
      </c>
      <c r="B87" s="6"/>
      <c r="C87" s="6"/>
      <c r="D87" s="6"/>
      <c r="E87" s="6"/>
      <c r="F87" s="6">
        <v>1</v>
      </c>
      <c r="G87" s="6"/>
      <c r="H87" s="9" t="str" cm="1">
        <f t="array" ref="H87">_xlfn.IFS(AND(SUM(B87:D87)=0,SUM(E87:G87)&gt;0),"Новый",AND(SUM(B87:D87)&gt;0,SUM(E87:G87)&gt;0),"Действующий",AND(SUM(B87:D87)&gt;0,SUM(E87:G87)=0),"Спящий",AND(SUM(B87:G87)=0),"Ушедший")</f>
        <v>Новый</v>
      </c>
      <c r="I87" s="3">
        <f>IF(AND(SUM(B87:D87)=0,SUM(E87:G87)&gt;0),1,0)</f>
        <v>1</v>
      </c>
      <c r="J87" s="3">
        <f t="shared" si="4"/>
        <v>0</v>
      </c>
      <c r="K87" s="3">
        <f t="shared" si="5"/>
        <v>0</v>
      </c>
      <c r="L87" s="3">
        <f t="shared" si="6"/>
        <v>0</v>
      </c>
      <c r="M87" s="3" t="str" cm="1">
        <f t="array" ref="M87">_xlfn.IFS(I87=1,$I$11,J87=1,$J$11,K87=1,$K$11,L87=1,$L$11)</f>
        <v>Новый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3">
      <c r="A88" s="6" t="s">
        <v>357</v>
      </c>
      <c r="B88" s="6"/>
      <c r="C88" s="6"/>
      <c r="D88" s="6"/>
      <c r="E88" s="6">
        <v>1</v>
      </c>
      <c r="F88" s="6">
        <v>1</v>
      </c>
      <c r="G88" s="6"/>
      <c r="H88" s="9" t="str" cm="1">
        <f t="array" ref="H88">_xlfn.IFS(AND(SUM(B88:D88)=0,SUM(E88:G88)&gt;0),"Новый",AND(SUM(B88:D88)&gt;0,SUM(E88:G88)&gt;0),"Действующий",AND(SUM(B88:D88)&gt;0,SUM(E88:G88)=0),"Спящий",AND(SUM(B88:G88)=0),"Ушедший")</f>
        <v>Новый</v>
      </c>
      <c r="I88" s="3">
        <f>IF(AND(SUM(B88:D88)=0,SUM(E88:G88)&gt;0),1,0)</f>
        <v>1</v>
      </c>
      <c r="J88" s="3">
        <f t="shared" si="4"/>
        <v>0</v>
      </c>
      <c r="K88" s="3">
        <f t="shared" si="5"/>
        <v>0</v>
      </c>
      <c r="L88" s="3">
        <f t="shared" si="6"/>
        <v>0</v>
      </c>
      <c r="M88" s="3" t="str" cm="1">
        <f t="array" ref="M88">_xlfn.IFS(I88=1,$I$11,J88=1,$J$11,K88=1,$K$11,L88=1,$L$11)</f>
        <v>Новый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 x14ac:dyDescent="0.3">
      <c r="A89" s="6" t="s">
        <v>358</v>
      </c>
      <c r="B89" s="6">
        <v>1</v>
      </c>
      <c r="C89" s="6"/>
      <c r="D89" s="6"/>
      <c r="E89" s="6"/>
      <c r="F89" s="6"/>
      <c r="G89" s="6"/>
      <c r="H89" s="9" t="str" cm="1">
        <f t="array" ref="H89">_xlfn.IFS(AND(SUM(B89:D89)=0,SUM(E89:G89)&gt;0),"Новый",AND(SUM(B89:D89)&gt;0,SUM(E89:G89)&gt;0),"Действующий",AND(SUM(B89:D89)&gt;0,SUM(E89:G89)=0),"Спящий",AND(SUM(B89:G89)=0),"Ушедший")</f>
        <v>Спящий</v>
      </c>
      <c r="I89" s="3">
        <f>IF(AND(SUM(B89:D89)=0,SUM(E89:G89)&gt;0),1,0)</f>
        <v>0</v>
      </c>
      <c r="J89" s="3">
        <f t="shared" si="4"/>
        <v>0</v>
      </c>
      <c r="K89" s="3">
        <f t="shared" si="5"/>
        <v>1</v>
      </c>
      <c r="L89" s="3">
        <f t="shared" si="6"/>
        <v>0</v>
      </c>
      <c r="M89" s="3" t="str" cm="1">
        <f t="array" ref="M89">_xlfn.IFS(I89=1,$I$11,J89=1,$J$11,K89=1,$K$11,L89=1,$L$11)</f>
        <v>Спящий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3">
      <c r="A90" s="6" t="s">
        <v>359</v>
      </c>
      <c r="B90" s="6"/>
      <c r="C90" s="6"/>
      <c r="D90" s="6"/>
      <c r="E90" s="6">
        <v>1</v>
      </c>
      <c r="F90" s="6"/>
      <c r="G90" s="6"/>
      <c r="H90" s="9" t="str" cm="1">
        <f t="array" ref="H90">_xlfn.IFS(AND(SUM(B90:D90)=0,SUM(E90:G90)&gt;0),"Новый",AND(SUM(B90:D90)&gt;0,SUM(E90:G90)&gt;0),"Действующий",AND(SUM(B90:D90)&gt;0,SUM(E90:G90)=0),"Спящий",AND(SUM(B90:G90)=0),"Ушедший")</f>
        <v>Новый</v>
      </c>
      <c r="I90" s="3">
        <f>IF(AND(SUM(B90:D90)=0,SUM(E90:G90)&gt;0),1,0)</f>
        <v>1</v>
      </c>
      <c r="J90" s="3">
        <f t="shared" si="4"/>
        <v>0</v>
      </c>
      <c r="K90" s="3">
        <f t="shared" si="5"/>
        <v>0</v>
      </c>
      <c r="L90" s="3">
        <f t="shared" si="6"/>
        <v>0</v>
      </c>
      <c r="M90" s="3" t="str" cm="1">
        <f t="array" ref="M90">_xlfn.IFS(I90=1,$I$11,J90=1,$J$11,K90=1,$K$11,L90=1,$L$11)</f>
        <v>Новый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 x14ac:dyDescent="0.3">
      <c r="A91" s="6" t="s">
        <v>360</v>
      </c>
      <c r="B91" s="6"/>
      <c r="C91" s="6">
        <v>1</v>
      </c>
      <c r="D91" s="6"/>
      <c r="E91" s="6"/>
      <c r="F91" s="6"/>
      <c r="G91" s="6"/>
      <c r="H91" s="9" t="str" cm="1">
        <f t="array" ref="H91">_xlfn.IFS(AND(SUM(B91:D91)=0,SUM(E91:G91)&gt;0),"Новый",AND(SUM(B91:D91)&gt;0,SUM(E91:G91)&gt;0),"Действующий",AND(SUM(B91:D91)&gt;0,SUM(E91:G91)=0),"Спящий",AND(SUM(B91:G91)=0),"Ушедший")</f>
        <v>Спящий</v>
      </c>
      <c r="I91" s="3">
        <f>IF(AND(SUM(B91:D91)=0,SUM(E91:G91)&gt;0),1,0)</f>
        <v>0</v>
      </c>
      <c r="J91" s="3">
        <f t="shared" si="4"/>
        <v>0</v>
      </c>
      <c r="K91" s="3">
        <f t="shared" si="5"/>
        <v>1</v>
      </c>
      <c r="L91" s="3">
        <f t="shared" si="6"/>
        <v>0</v>
      </c>
      <c r="M91" s="3" t="str" cm="1">
        <f t="array" ref="M91">_xlfn.IFS(I91=1,$I$11,J91=1,$J$11,K91=1,$K$11,L91=1,$L$11)</f>
        <v>Спящий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3">
      <c r="A92" s="6" t="s">
        <v>361</v>
      </c>
      <c r="B92" s="6"/>
      <c r="C92" s="6"/>
      <c r="D92" s="6">
        <v>1</v>
      </c>
      <c r="E92" s="6"/>
      <c r="F92" s="6"/>
      <c r="G92" s="6"/>
      <c r="H92" s="9" t="str" cm="1">
        <f t="array" ref="H92">_xlfn.IFS(AND(SUM(B92:D92)=0,SUM(E92:G92)&gt;0),"Новый",AND(SUM(B92:D92)&gt;0,SUM(E92:G92)&gt;0),"Действующий",AND(SUM(B92:D92)&gt;0,SUM(E92:G92)=0),"Спящий",AND(SUM(B92:G92)=0),"Ушедший")</f>
        <v>Спящий</v>
      </c>
      <c r="I92" s="3">
        <f>IF(AND(SUM(B92:D92)=0,SUM(E92:G92)&gt;0),1,0)</f>
        <v>0</v>
      </c>
      <c r="J92" s="3">
        <f t="shared" si="4"/>
        <v>0</v>
      </c>
      <c r="K92" s="3">
        <f t="shared" si="5"/>
        <v>1</v>
      </c>
      <c r="L92" s="3">
        <f t="shared" si="6"/>
        <v>0</v>
      </c>
      <c r="M92" s="3" t="str" cm="1">
        <f t="array" ref="M92">_xlfn.IFS(I92=1,$I$11,J92=1,$J$11,K92=1,$K$11,L92=1,$L$11)</f>
        <v>Спящий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 x14ac:dyDescent="0.3">
      <c r="A93" s="6" t="s">
        <v>362</v>
      </c>
      <c r="B93" s="6"/>
      <c r="C93" s="6">
        <v>1</v>
      </c>
      <c r="D93" s="6"/>
      <c r="E93" s="6"/>
      <c r="F93" s="6">
        <v>1</v>
      </c>
      <c r="G93" s="6"/>
      <c r="H93" s="9" t="str" cm="1">
        <f t="array" ref="H93">_xlfn.IFS(AND(SUM(B93:D93)=0,SUM(E93:G93)&gt;0),"Новый",AND(SUM(B93:D93)&gt;0,SUM(E93:G93)&gt;0),"Действующий",AND(SUM(B93:D93)&gt;0,SUM(E93:G93)=0),"Спящий",AND(SUM(B93:G93)=0),"Ушедший")</f>
        <v>Действующий</v>
      </c>
      <c r="I93" s="3">
        <f>IF(AND(SUM(B93:D93)=0,SUM(E93:G93)&gt;0),1,0)</f>
        <v>0</v>
      </c>
      <c r="J93" s="3">
        <f t="shared" si="4"/>
        <v>1</v>
      </c>
      <c r="K93" s="3">
        <f t="shared" si="5"/>
        <v>0</v>
      </c>
      <c r="L93" s="3">
        <f t="shared" si="6"/>
        <v>0</v>
      </c>
      <c r="M93" s="3" t="str" cm="1">
        <f t="array" ref="M93">_xlfn.IFS(I93=1,$I$11,J93=1,$J$11,K93=1,$K$11,L93=1,$L$11)</f>
        <v>Действующий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3">
      <c r="A94" s="6" t="s">
        <v>363</v>
      </c>
      <c r="B94" s="6"/>
      <c r="C94" s="6"/>
      <c r="D94" s="6"/>
      <c r="E94" s="6">
        <v>1</v>
      </c>
      <c r="F94" s="6"/>
      <c r="G94" s="6"/>
      <c r="H94" s="9" t="str" cm="1">
        <f t="array" ref="H94">_xlfn.IFS(AND(SUM(B94:D94)=0,SUM(E94:G94)&gt;0),"Новый",AND(SUM(B94:D94)&gt;0,SUM(E94:G94)&gt;0),"Действующий",AND(SUM(B94:D94)&gt;0,SUM(E94:G94)=0),"Спящий",AND(SUM(B94:G94)=0),"Ушедший")</f>
        <v>Новый</v>
      </c>
      <c r="I94" s="3">
        <f>IF(AND(SUM(B94:D94)=0,SUM(E94:G94)&gt;0),1,0)</f>
        <v>1</v>
      </c>
      <c r="J94" s="3">
        <f t="shared" si="4"/>
        <v>0</v>
      </c>
      <c r="K94" s="3">
        <f t="shared" si="5"/>
        <v>0</v>
      </c>
      <c r="L94" s="3">
        <f t="shared" si="6"/>
        <v>0</v>
      </c>
      <c r="M94" s="3" t="str" cm="1">
        <f t="array" ref="M94">_xlfn.IFS(I94=1,$I$11,J94=1,$J$11,K94=1,$K$11,L94=1,$L$11)</f>
        <v>Новый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 x14ac:dyDescent="0.3">
      <c r="A95" s="6" t="s">
        <v>364</v>
      </c>
      <c r="B95" s="6">
        <v>1</v>
      </c>
      <c r="C95" s="6"/>
      <c r="D95" s="6">
        <v>1</v>
      </c>
      <c r="E95" s="6"/>
      <c r="F95" s="6">
        <v>1</v>
      </c>
      <c r="G95" s="6"/>
      <c r="H95" s="9" t="str" cm="1">
        <f t="array" ref="H95">_xlfn.IFS(AND(SUM(B95:D95)=0,SUM(E95:G95)&gt;0),"Новый",AND(SUM(B95:D95)&gt;0,SUM(E95:G95)&gt;0),"Действующий",AND(SUM(B95:D95)&gt;0,SUM(E95:G95)=0),"Спящий",AND(SUM(B95:G95)=0),"Ушедший")</f>
        <v>Действующий</v>
      </c>
      <c r="I95" s="3">
        <f>IF(AND(SUM(B95:D95)=0,SUM(E95:G95)&gt;0),1,0)</f>
        <v>0</v>
      </c>
      <c r="J95" s="3">
        <f t="shared" si="4"/>
        <v>1</v>
      </c>
      <c r="K95" s="3">
        <f t="shared" si="5"/>
        <v>0</v>
      </c>
      <c r="L95" s="3">
        <f t="shared" si="6"/>
        <v>0</v>
      </c>
      <c r="M95" s="3" t="str" cm="1">
        <f t="array" ref="M95">_xlfn.IFS(I95=1,$I$11,J95=1,$J$11,K95=1,$K$11,L95=1,$L$11)</f>
        <v>Действующий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3">
      <c r="A96" s="6" t="s">
        <v>365</v>
      </c>
      <c r="B96" s="6"/>
      <c r="C96" s="6"/>
      <c r="D96" s="6">
        <v>3</v>
      </c>
      <c r="E96" s="6"/>
      <c r="F96" s="6"/>
      <c r="G96" s="6"/>
      <c r="H96" s="9" t="str" cm="1">
        <f t="array" ref="H96">_xlfn.IFS(AND(SUM(B96:D96)=0,SUM(E96:G96)&gt;0),"Новый",AND(SUM(B96:D96)&gt;0,SUM(E96:G96)&gt;0),"Действующий",AND(SUM(B96:D96)&gt;0,SUM(E96:G96)=0),"Спящий",AND(SUM(B96:G96)=0),"Ушедший")</f>
        <v>Спящий</v>
      </c>
      <c r="I96" s="3">
        <f>IF(AND(SUM(B96:D96)=0,SUM(E96:G96)&gt;0),1,0)</f>
        <v>0</v>
      </c>
      <c r="J96" s="3">
        <f t="shared" si="4"/>
        <v>0</v>
      </c>
      <c r="K96" s="3">
        <f t="shared" si="5"/>
        <v>1</v>
      </c>
      <c r="L96" s="3">
        <f t="shared" si="6"/>
        <v>0</v>
      </c>
      <c r="M96" s="3" t="str" cm="1">
        <f t="array" ref="M96">_xlfn.IFS(I96=1,$I$11,J96=1,$J$11,K96=1,$K$11,L96=1,$L$11)</f>
        <v>Спящий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 x14ac:dyDescent="0.3">
      <c r="A97" s="6" t="s">
        <v>366</v>
      </c>
      <c r="B97" s="6"/>
      <c r="C97" s="6"/>
      <c r="D97" s="6">
        <v>1</v>
      </c>
      <c r="E97" s="6"/>
      <c r="F97" s="6"/>
      <c r="G97" s="6"/>
      <c r="H97" s="9" t="str" cm="1">
        <f t="array" ref="H97">_xlfn.IFS(AND(SUM(B97:D97)=0,SUM(E97:G97)&gt;0),"Новый",AND(SUM(B97:D97)&gt;0,SUM(E97:G97)&gt;0),"Действующий",AND(SUM(B97:D97)&gt;0,SUM(E97:G97)=0),"Спящий",AND(SUM(B97:G97)=0),"Ушедший")</f>
        <v>Спящий</v>
      </c>
      <c r="I97" s="3">
        <f>IF(AND(SUM(B97:D97)=0,SUM(E97:G97)&gt;0),1,0)</f>
        <v>0</v>
      </c>
      <c r="J97" s="3">
        <f t="shared" si="4"/>
        <v>0</v>
      </c>
      <c r="K97" s="3">
        <f t="shared" si="5"/>
        <v>1</v>
      </c>
      <c r="L97" s="3">
        <f t="shared" si="6"/>
        <v>0</v>
      </c>
      <c r="M97" s="3" t="str" cm="1">
        <f t="array" ref="M97">_xlfn.IFS(I97=1,$I$11,J97=1,$J$11,K97=1,$K$11,L97=1,$L$11)</f>
        <v>Спящий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3">
      <c r="A98" s="6" t="s">
        <v>367</v>
      </c>
      <c r="B98" s="6"/>
      <c r="C98" s="6"/>
      <c r="D98" s="6"/>
      <c r="E98" s="6">
        <v>1</v>
      </c>
      <c r="F98" s="6"/>
      <c r="G98" s="6"/>
      <c r="H98" s="9" t="str" cm="1">
        <f t="array" ref="H98">_xlfn.IFS(AND(SUM(B98:D98)=0,SUM(E98:G98)&gt;0),"Новый",AND(SUM(B98:D98)&gt;0,SUM(E98:G98)&gt;0),"Действующий",AND(SUM(B98:D98)&gt;0,SUM(E98:G98)=0),"Спящий",AND(SUM(B98:G98)=0),"Ушедший")</f>
        <v>Новый</v>
      </c>
      <c r="I98" s="3">
        <f>IF(AND(SUM(B98:D98)=0,SUM(E98:G98)&gt;0),1,0)</f>
        <v>1</v>
      </c>
      <c r="J98" s="3">
        <f t="shared" si="4"/>
        <v>0</v>
      </c>
      <c r="K98" s="3">
        <f t="shared" si="5"/>
        <v>0</v>
      </c>
      <c r="L98" s="3">
        <f t="shared" si="6"/>
        <v>0</v>
      </c>
      <c r="M98" s="3" t="str" cm="1">
        <f t="array" ref="M98">_xlfn.IFS(I98=1,$I$11,J98=1,$J$11,K98=1,$K$11,L98=1,$L$11)</f>
        <v>Новый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 x14ac:dyDescent="0.3">
      <c r="A99" s="6" t="s">
        <v>368</v>
      </c>
      <c r="B99" s="6">
        <v>1</v>
      </c>
      <c r="C99" s="6"/>
      <c r="D99" s="6"/>
      <c r="E99" s="6"/>
      <c r="F99" s="6"/>
      <c r="G99" s="6"/>
      <c r="H99" s="9" t="str" cm="1">
        <f t="array" ref="H99">_xlfn.IFS(AND(SUM(B99:D99)=0,SUM(E99:G99)&gt;0),"Новый",AND(SUM(B99:D99)&gt;0,SUM(E99:G99)&gt;0),"Действующий",AND(SUM(B99:D99)&gt;0,SUM(E99:G99)=0),"Спящий",AND(SUM(B99:G99)=0),"Ушедший")</f>
        <v>Спящий</v>
      </c>
      <c r="I99" s="3">
        <f>IF(AND(SUM(B99:D99)=0,SUM(E99:G99)&gt;0),1,0)</f>
        <v>0</v>
      </c>
      <c r="J99" s="3">
        <f t="shared" si="4"/>
        <v>0</v>
      </c>
      <c r="K99" s="3">
        <f t="shared" si="5"/>
        <v>1</v>
      </c>
      <c r="L99" s="3">
        <f t="shared" si="6"/>
        <v>0</v>
      </c>
      <c r="M99" s="3" t="str" cm="1">
        <f t="array" ref="M99">_xlfn.IFS(I99=1,$I$11,J99=1,$J$11,K99=1,$K$11,L99=1,$L$11)</f>
        <v>Спящий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3">
      <c r="A100" s="6" t="s">
        <v>369</v>
      </c>
      <c r="B100" s="6"/>
      <c r="C100" s="6"/>
      <c r="D100" s="6"/>
      <c r="E100" s="6">
        <v>1</v>
      </c>
      <c r="F100" s="6"/>
      <c r="G100" s="6"/>
      <c r="H100" s="9" t="str" cm="1">
        <f t="array" ref="H100">_xlfn.IFS(AND(SUM(B100:D100)=0,SUM(E100:G100)&gt;0),"Новый",AND(SUM(B100:D100)&gt;0,SUM(E100:G100)&gt;0),"Действующий",AND(SUM(B100:D100)&gt;0,SUM(E100:G100)=0),"Спящий",AND(SUM(B100:G100)=0),"Ушедший")</f>
        <v>Новый</v>
      </c>
      <c r="I100" s="3">
        <f>IF(AND(SUM(B100:D100)=0,SUM(E100:G100)&gt;0),1,0)</f>
        <v>1</v>
      </c>
      <c r="J100" s="3">
        <f t="shared" si="4"/>
        <v>0</v>
      </c>
      <c r="K100" s="3">
        <f t="shared" si="5"/>
        <v>0</v>
      </c>
      <c r="L100" s="3">
        <f t="shared" si="6"/>
        <v>0</v>
      </c>
      <c r="M100" s="3" t="str" cm="1">
        <f t="array" ref="M100">_xlfn.IFS(I100=1,$I$11,J100=1,$J$11,K100=1,$K$11,L100=1,$L$11)</f>
        <v>Новый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 x14ac:dyDescent="0.3">
      <c r="A101" s="6" t="s">
        <v>370</v>
      </c>
      <c r="B101" s="6"/>
      <c r="C101" s="6">
        <v>1</v>
      </c>
      <c r="D101" s="6">
        <v>5</v>
      </c>
      <c r="E101" s="6">
        <v>15</v>
      </c>
      <c r="F101" s="6">
        <v>11</v>
      </c>
      <c r="G101" s="6">
        <v>10</v>
      </c>
      <c r="H101" s="9" t="str" cm="1">
        <f t="array" ref="H101">_xlfn.IFS(AND(SUM(B101:D101)=0,SUM(E101:G101)&gt;0),"Новый",AND(SUM(B101:D101)&gt;0,SUM(E101:G101)&gt;0),"Действующий",AND(SUM(B101:D101)&gt;0,SUM(E101:G101)=0),"Спящий",AND(SUM(B101:G101)=0),"Ушедший")</f>
        <v>Действующий</v>
      </c>
      <c r="I101" s="3">
        <f>IF(AND(SUM(B101:D101)=0,SUM(E101:G101)&gt;0),1,0)</f>
        <v>0</v>
      </c>
      <c r="J101" s="3">
        <f t="shared" si="4"/>
        <v>1</v>
      </c>
      <c r="K101" s="3">
        <f t="shared" si="5"/>
        <v>0</v>
      </c>
      <c r="L101" s="3">
        <f t="shared" si="6"/>
        <v>0</v>
      </c>
      <c r="M101" s="3" t="str" cm="1">
        <f t="array" ref="M101">_xlfn.IFS(I101=1,$I$11,J101=1,$J$11,K101=1,$K$11,L101=1,$L$11)</f>
        <v>Действующий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3">
      <c r="A102" s="6" t="s">
        <v>371</v>
      </c>
      <c r="B102" s="6"/>
      <c r="C102" s="6">
        <v>1</v>
      </c>
      <c r="D102" s="6"/>
      <c r="E102" s="6"/>
      <c r="F102" s="6"/>
      <c r="G102" s="6"/>
      <c r="H102" s="9" t="str" cm="1">
        <f t="array" ref="H102">_xlfn.IFS(AND(SUM(B102:D102)=0,SUM(E102:G102)&gt;0),"Новый",AND(SUM(B102:D102)&gt;0,SUM(E102:G102)&gt;0),"Действующий",AND(SUM(B102:D102)&gt;0,SUM(E102:G102)=0),"Спящий",AND(SUM(B102:G102)=0),"Ушедший")</f>
        <v>Спящий</v>
      </c>
      <c r="I102" s="3">
        <f>IF(AND(SUM(B102:D102)=0,SUM(E102:G102)&gt;0),1,0)</f>
        <v>0</v>
      </c>
      <c r="J102" s="3">
        <f t="shared" si="4"/>
        <v>0</v>
      </c>
      <c r="K102" s="3">
        <f t="shared" si="5"/>
        <v>1</v>
      </c>
      <c r="L102" s="3">
        <f t="shared" si="6"/>
        <v>0</v>
      </c>
      <c r="M102" s="3" t="str" cm="1">
        <f t="array" ref="M102">_xlfn.IFS(I102=1,$I$11,J102=1,$J$11,K102=1,$K$11,L102=1,$L$11)</f>
        <v>Спящий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3">
      <c r="A103" s="6" t="s">
        <v>372</v>
      </c>
      <c r="B103" s="6"/>
      <c r="C103" s="6">
        <v>2</v>
      </c>
      <c r="D103" s="6">
        <v>2</v>
      </c>
      <c r="E103" s="6"/>
      <c r="F103" s="6"/>
      <c r="G103" s="6"/>
      <c r="H103" s="9" t="str" cm="1">
        <f t="array" ref="H103">_xlfn.IFS(AND(SUM(B103:D103)=0,SUM(E103:G103)&gt;0),"Новый",AND(SUM(B103:D103)&gt;0,SUM(E103:G103)&gt;0),"Действующий",AND(SUM(B103:D103)&gt;0,SUM(E103:G103)=0),"Спящий",AND(SUM(B103:G103)=0),"Ушедший")</f>
        <v>Спящий</v>
      </c>
      <c r="I103" s="3">
        <f>IF(AND(SUM(B103:D103)=0,SUM(E103:G103)&gt;0),1,0)</f>
        <v>0</v>
      </c>
      <c r="J103" s="3">
        <f t="shared" si="4"/>
        <v>0</v>
      </c>
      <c r="K103" s="3">
        <f t="shared" si="5"/>
        <v>1</v>
      </c>
      <c r="L103" s="3">
        <f t="shared" si="6"/>
        <v>0</v>
      </c>
      <c r="M103" s="3" t="str" cm="1">
        <f t="array" ref="M103">_xlfn.IFS(I103=1,$I$11,J103=1,$J$11,K103=1,$K$11,L103=1,$L$11)</f>
        <v>Спящий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3">
      <c r="A104" s="6" t="s">
        <v>373</v>
      </c>
      <c r="B104" s="6"/>
      <c r="C104" s="6"/>
      <c r="D104" s="6">
        <v>1</v>
      </c>
      <c r="E104" s="6"/>
      <c r="F104" s="6"/>
      <c r="G104" s="6">
        <v>2</v>
      </c>
      <c r="H104" s="9" t="str" cm="1">
        <f t="array" ref="H104">_xlfn.IFS(AND(SUM(B104:D104)=0,SUM(E104:G104)&gt;0),"Новый",AND(SUM(B104:D104)&gt;0,SUM(E104:G104)&gt;0),"Действующий",AND(SUM(B104:D104)&gt;0,SUM(E104:G104)=0),"Спящий",AND(SUM(B104:G104)=0),"Ушедший")</f>
        <v>Действующий</v>
      </c>
      <c r="I104" s="3">
        <f>IF(AND(SUM(B104:D104)=0,SUM(E104:G104)&gt;0),1,0)</f>
        <v>0</v>
      </c>
      <c r="J104" s="3">
        <f t="shared" si="4"/>
        <v>1</v>
      </c>
      <c r="K104" s="3">
        <f t="shared" si="5"/>
        <v>0</v>
      </c>
      <c r="L104" s="3">
        <f t="shared" si="6"/>
        <v>0</v>
      </c>
      <c r="M104" s="3" t="str" cm="1">
        <f t="array" ref="M104">_xlfn.IFS(I104=1,$I$11,J104=1,$J$11,K104=1,$K$11,L104=1,$L$11)</f>
        <v>Действующий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 x14ac:dyDescent="0.3">
      <c r="A105" s="6" t="s">
        <v>374</v>
      </c>
      <c r="B105" s="6">
        <v>1</v>
      </c>
      <c r="C105" s="6">
        <v>1</v>
      </c>
      <c r="D105" s="6">
        <v>1</v>
      </c>
      <c r="E105" s="6"/>
      <c r="F105" s="6">
        <v>1</v>
      </c>
      <c r="G105" s="6">
        <v>1</v>
      </c>
      <c r="H105" s="9" t="str" cm="1">
        <f t="array" ref="H105">_xlfn.IFS(AND(SUM(B105:D105)=0,SUM(E105:G105)&gt;0),"Новый",AND(SUM(B105:D105)&gt;0,SUM(E105:G105)&gt;0),"Действующий",AND(SUM(B105:D105)&gt;0,SUM(E105:G105)=0),"Спящий",AND(SUM(B105:G105)=0),"Ушедший")</f>
        <v>Действующий</v>
      </c>
      <c r="I105" s="3">
        <f>IF(AND(SUM(B105:D105)=0,SUM(E105:G105)&gt;0),1,0)</f>
        <v>0</v>
      </c>
      <c r="J105" s="3">
        <f t="shared" si="4"/>
        <v>1</v>
      </c>
      <c r="K105" s="3">
        <f t="shared" si="5"/>
        <v>0</v>
      </c>
      <c r="L105" s="3">
        <f t="shared" si="6"/>
        <v>0</v>
      </c>
      <c r="M105" s="3" t="str" cm="1">
        <f t="array" ref="M105">_xlfn.IFS(I105=1,$I$11,J105=1,$J$11,K105=1,$K$11,L105=1,$L$11)</f>
        <v>Действующий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3">
      <c r="A106" s="6" t="s">
        <v>375</v>
      </c>
      <c r="B106" s="6"/>
      <c r="C106" s="6"/>
      <c r="D106" s="6">
        <v>1</v>
      </c>
      <c r="E106" s="6"/>
      <c r="F106" s="6"/>
      <c r="G106" s="6">
        <v>1</v>
      </c>
      <c r="H106" s="9" t="str" cm="1">
        <f t="array" ref="H106">_xlfn.IFS(AND(SUM(B106:D106)=0,SUM(E106:G106)&gt;0),"Новый",AND(SUM(B106:D106)&gt;0,SUM(E106:G106)&gt;0),"Действующий",AND(SUM(B106:D106)&gt;0,SUM(E106:G106)=0),"Спящий",AND(SUM(B106:G106)=0),"Ушедший")</f>
        <v>Действующий</v>
      </c>
      <c r="I106" s="3">
        <f>IF(AND(SUM(B106:D106)=0,SUM(E106:G106)&gt;0),1,0)</f>
        <v>0</v>
      </c>
      <c r="J106" s="3">
        <f t="shared" si="4"/>
        <v>1</v>
      </c>
      <c r="K106" s="3">
        <f t="shared" si="5"/>
        <v>0</v>
      </c>
      <c r="L106" s="3">
        <f t="shared" si="6"/>
        <v>0</v>
      </c>
      <c r="M106" s="3" t="str" cm="1">
        <f t="array" ref="M106">_xlfn.IFS(I106=1,$I$11,J106=1,$J$11,K106=1,$K$11,L106=1,$L$11)</f>
        <v>Действующий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3">
      <c r="A107" s="6" t="s">
        <v>376</v>
      </c>
      <c r="B107" s="6">
        <v>1</v>
      </c>
      <c r="C107" s="6"/>
      <c r="D107" s="6"/>
      <c r="E107" s="6"/>
      <c r="F107" s="6"/>
      <c r="G107" s="6"/>
      <c r="H107" s="9" t="str" cm="1">
        <f t="array" ref="H107">_xlfn.IFS(AND(SUM(B107:D107)=0,SUM(E107:G107)&gt;0),"Новый",AND(SUM(B107:D107)&gt;0,SUM(E107:G107)&gt;0),"Действующий",AND(SUM(B107:D107)&gt;0,SUM(E107:G107)=0),"Спящий",AND(SUM(B107:G107)=0),"Ушедший")</f>
        <v>Спящий</v>
      </c>
      <c r="I107" s="3">
        <f>IF(AND(SUM(B107:D107)=0,SUM(E107:G107)&gt;0),1,0)</f>
        <v>0</v>
      </c>
      <c r="J107" s="3">
        <f t="shared" si="4"/>
        <v>0</v>
      </c>
      <c r="K107" s="3">
        <f t="shared" si="5"/>
        <v>1</v>
      </c>
      <c r="L107" s="3">
        <f t="shared" si="6"/>
        <v>0</v>
      </c>
      <c r="M107" s="3" t="str" cm="1">
        <f t="array" ref="M107">_xlfn.IFS(I107=1,$I$11,J107=1,$J$11,K107=1,$K$11,L107=1,$L$11)</f>
        <v>Спящий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3">
      <c r="A108" s="6" t="s">
        <v>377</v>
      </c>
      <c r="B108" s="6"/>
      <c r="C108" s="6"/>
      <c r="D108" s="6">
        <v>1</v>
      </c>
      <c r="E108" s="6"/>
      <c r="F108" s="6"/>
      <c r="G108" s="6"/>
      <c r="H108" s="9" t="str" cm="1">
        <f t="array" ref="H108">_xlfn.IFS(AND(SUM(B108:D108)=0,SUM(E108:G108)&gt;0),"Новый",AND(SUM(B108:D108)&gt;0,SUM(E108:G108)&gt;0),"Действующий",AND(SUM(B108:D108)&gt;0,SUM(E108:G108)=0),"Спящий",AND(SUM(B108:G108)=0),"Ушедший")</f>
        <v>Спящий</v>
      </c>
      <c r="I108" s="3">
        <f>IF(AND(SUM(B108:D108)=0,SUM(E108:G108)&gt;0),1,0)</f>
        <v>0</v>
      </c>
      <c r="J108" s="3">
        <f t="shared" si="4"/>
        <v>0</v>
      </c>
      <c r="K108" s="3">
        <f t="shared" si="5"/>
        <v>1</v>
      </c>
      <c r="L108" s="3">
        <f t="shared" si="6"/>
        <v>0</v>
      </c>
      <c r="M108" s="3" t="str" cm="1">
        <f t="array" ref="M108">_xlfn.IFS(I108=1,$I$11,J108=1,$J$11,K108=1,$K$11,L108=1,$L$11)</f>
        <v>Спящий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 x14ac:dyDescent="0.3">
      <c r="A109" s="6" t="s">
        <v>378</v>
      </c>
      <c r="B109" s="6"/>
      <c r="C109" s="6"/>
      <c r="D109" s="6"/>
      <c r="E109" s="6">
        <v>1</v>
      </c>
      <c r="F109" s="6">
        <v>1</v>
      </c>
      <c r="G109" s="6"/>
      <c r="H109" s="9" t="str" cm="1">
        <f t="array" ref="H109">_xlfn.IFS(AND(SUM(B109:D109)=0,SUM(E109:G109)&gt;0),"Новый",AND(SUM(B109:D109)&gt;0,SUM(E109:G109)&gt;0),"Действующий",AND(SUM(B109:D109)&gt;0,SUM(E109:G109)=0),"Спящий",AND(SUM(B109:G109)=0),"Ушедший")</f>
        <v>Новый</v>
      </c>
      <c r="I109" s="3">
        <f>IF(AND(SUM(B109:D109)=0,SUM(E109:G109)&gt;0),1,0)</f>
        <v>1</v>
      </c>
      <c r="J109" s="3">
        <f t="shared" si="4"/>
        <v>0</v>
      </c>
      <c r="K109" s="3">
        <f t="shared" si="5"/>
        <v>0</v>
      </c>
      <c r="L109" s="3">
        <f t="shared" si="6"/>
        <v>0</v>
      </c>
      <c r="M109" s="3" t="str" cm="1">
        <f t="array" ref="M109">_xlfn.IFS(I109=1,$I$11,J109=1,$J$11,K109=1,$K$11,L109=1,$L$11)</f>
        <v>Новый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3">
      <c r="A110" s="6" t="s">
        <v>379</v>
      </c>
      <c r="B110" s="6">
        <v>1</v>
      </c>
      <c r="C110" s="6">
        <v>2</v>
      </c>
      <c r="D110" s="6"/>
      <c r="E110" s="6">
        <v>1</v>
      </c>
      <c r="F110" s="6"/>
      <c r="G110" s="6"/>
      <c r="H110" s="9" t="str" cm="1">
        <f t="array" ref="H110">_xlfn.IFS(AND(SUM(B110:D110)=0,SUM(E110:G110)&gt;0),"Новый",AND(SUM(B110:D110)&gt;0,SUM(E110:G110)&gt;0),"Действующий",AND(SUM(B110:D110)&gt;0,SUM(E110:G110)=0),"Спящий",AND(SUM(B110:G110)=0),"Ушедший")</f>
        <v>Действующий</v>
      </c>
      <c r="I110" s="3">
        <f>IF(AND(SUM(B110:D110)=0,SUM(E110:G110)&gt;0),1,0)</f>
        <v>0</v>
      </c>
      <c r="J110" s="3">
        <f t="shared" si="4"/>
        <v>1</v>
      </c>
      <c r="K110" s="3">
        <f t="shared" si="5"/>
        <v>0</v>
      </c>
      <c r="L110" s="3">
        <f t="shared" si="6"/>
        <v>0</v>
      </c>
      <c r="M110" s="3" t="str" cm="1">
        <f t="array" ref="M110">_xlfn.IFS(I110=1,$I$11,J110=1,$J$11,K110=1,$K$11,L110=1,$L$11)</f>
        <v>Действующий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 x14ac:dyDescent="0.3">
      <c r="A111" s="6" t="s">
        <v>380</v>
      </c>
      <c r="B111" s="6">
        <v>1</v>
      </c>
      <c r="C111" s="6"/>
      <c r="D111" s="6"/>
      <c r="E111" s="6"/>
      <c r="F111" s="6">
        <v>1</v>
      </c>
      <c r="G111" s="6"/>
      <c r="H111" s="9" t="str" cm="1">
        <f t="array" ref="H111">_xlfn.IFS(AND(SUM(B111:D111)=0,SUM(E111:G111)&gt;0),"Новый",AND(SUM(B111:D111)&gt;0,SUM(E111:G111)&gt;0),"Действующий",AND(SUM(B111:D111)&gt;0,SUM(E111:G111)=0),"Спящий",AND(SUM(B111:G111)=0),"Ушедший")</f>
        <v>Действующий</v>
      </c>
      <c r="I111" s="3">
        <f>IF(AND(SUM(B111:D111)=0,SUM(E111:G111)&gt;0),1,0)</f>
        <v>0</v>
      </c>
      <c r="J111" s="3">
        <f t="shared" si="4"/>
        <v>1</v>
      </c>
      <c r="K111" s="3">
        <f t="shared" si="5"/>
        <v>0</v>
      </c>
      <c r="L111" s="3">
        <f t="shared" si="6"/>
        <v>0</v>
      </c>
      <c r="M111" s="3" t="str" cm="1">
        <f t="array" ref="M111">_xlfn.IFS(I111=1,$I$11,J111=1,$J$11,K111=1,$K$11,L111=1,$L$11)</f>
        <v>Действующий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3">
      <c r="A112" s="6" t="s">
        <v>381</v>
      </c>
      <c r="B112" s="6"/>
      <c r="C112" s="6">
        <v>1</v>
      </c>
      <c r="D112" s="6"/>
      <c r="E112" s="6">
        <v>1</v>
      </c>
      <c r="F112" s="6"/>
      <c r="G112" s="6"/>
      <c r="H112" s="9" t="str" cm="1">
        <f t="array" ref="H112">_xlfn.IFS(AND(SUM(B112:D112)=0,SUM(E112:G112)&gt;0),"Новый",AND(SUM(B112:D112)&gt;0,SUM(E112:G112)&gt;0),"Действующий",AND(SUM(B112:D112)&gt;0,SUM(E112:G112)=0),"Спящий",AND(SUM(B112:G112)=0),"Ушедший")</f>
        <v>Действующий</v>
      </c>
      <c r="I112" s="3">
        <f>IF(AND(SUM(B112:D112)=0,SUM(E112:G112)&gt;0),1,0)</f>
        <v>0</v>
      </c>
      <c r="J112" s="3">
        <f t="shared" si="4"/>
        <v>1</v>
      </c>
      <c r="K112" s="3">
        <f t="shared" si="5"/>
        <v>0</v>
      </c>
      <c r="L112" s="3">
        <f t="shared" si="6"/>
        <v>0</v>
      </c>
      <c r="M112" s="3" t="str" cm="1">
        <f t="array" ref="M112">_xlfn.IFS(I112=1,$I$11,J112=1,$J$11,K112=1,$K$11,L112=1,$L$11)</f>
        <v>Действующий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 x14ac:dyDescent="0.3">
      <c r="A113" s="6" t="s">
        <v>382</v>
      </c>
      <c r="B113" s="6">
        <v>1</v>
      </c>
      <c r="C113" s="6">
        <v>6</v>
      </c>
      <c r="D113" s="6">
        <v>4</v>
      </c>
      <c r="E113" s="6">
        <v>5</v>
      </c>
      <c r="F113" s="6">
        <v>1</v>
      </c>
      <c r="G113" s="6">
        <v>2</v>
      </c>
      <c r="H113" s="9" t="str" cm="1">
        <f t="array" ref="H113">_xlfn.IFS(AND(SUM(B113:D113)=0,SUM(E113:G113)&gt;0),"Новый",AND(SUM(B113:D113)&gt;0,SUM(E113:G113)&gt;0),"Действующий",AND(SUM(B113:D113)&gt;0,SUM(E113:G113)=0),"Спящий",AND(SUM(B113:G113)=0),"Ушедший")</f>
        <v>Действующий</v>
      </c>
      <c r="I113" s="3">
        <f>IF(AND(SUM(B113:D113)=0,SUM(E113:G113)&gt;0),1,0)</f>
        <v>0</v>
      </c>
      <c r="J113" s="3">
        <f t="shared" si="4"/>
        <v>1</v>
      </c>
      <c r="K113" s="3">
        <f t="shared" si="5"/>
        <v>0</v>
      </c>
      <c r="L113" s="3">
        <f t="shared" si="6"/>
        <v>0</v>
      </c>
      <c r="M113" s="3" t="str" cm="1">
        <f t="array" ref="M113">_xlfn.IFS(I113=1,$I$11,J113=1,$J$11,K113=1,$K$11,L113=1,$L$11)</f>
        <v>Действующий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3">
      <c r="A114" s="6" t="s">
        <v>383</v>
      </c>
      <c r="B114" s="6">
        <v>1</v>
      </c>
      <c r="C114" s="6">
        <v>1</v>
      </c>
      <c r="D114" s="6"/>
      <c r="E114" s="6">
        <v>1</v>
      </c>
      <c r="F114" s="6">
        <v>1</v>
      </c>
      <c r="G114" s="6">
        <v>6</v>
      </c>
      <c r="H114" s="9" t="str" cm="1">
        <f t="array" ref="H114">_xlfn.IFS(AND(SUM(B114:D114)=0,SUM(E114:G114)&gt;0),"Новый",AND(SUM(B114:D114)&gt;0,SUM(E114:G114)&gt;0),"Действующий",AND(SUM(B114:D114)&gt;0,SUM(E114:G114)=0),"Спящий",AND(SUM(B114:G114)=0),"Ушедший")</f>
        <v>Действующий</v>
      </c>
      <c r="I114" s="3">
        <f>IF(AND(SUM(B114:D114)=0,SUM(E114:G114)&gt;0),1,0)</f>
        <v>0</v>
      </c>
      <c r="J114" s="3">
        <f t="shared" si="4"/>
        <v>1</v>
      </c>
      <c r="K114" s="3">
        <f t="shared" si="5"/>
        <v>0</v>
      </c>
      <c r="L114" s="3">
        <f t="shared" si="6"/>
        <v>0</v>
      </c>
      <c r="M114" s="3" t="str" cm="1">
        <f t="array" ref="M114">_xlfn.IFS(I114=1,$I$11,J114=1,$J$11,K114=1,$K$11,L114=1,$L$11)</f>
        <v>Действующий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 x14ac:dyDescent="0.3">
      <c r="A115" s="6" t="s">
        <v>384</v>
      </c>
      <c r="B115" s="6">
        <v>2</v>
      </c>
      <c r="C115" s="6">
        <v>5</v>
      </c>
      <c r="D115" s="6">
        <v>6</v>
      </c>
      <c r="E115" s="6">
        <v>6</v>
      </c>
      <c r="F115" s="6">
        <v>4</v>
      </c>
      <c r="G115" s="6">
        <v>3</v>
      </c>
      <c r="H115" s="9" t="str" cm="1">
        <f t="array" ref="H115">_xlfn.IFS(AND(SUM(B115:D115)=0,SUM(E115:G115)&gt;0),"Новый",AND(SUM(B115:D115)&gt;0,SUM(E115:G115)&gt;0),"Действующий",AND(SUM(B115:D115)&gt;0,SUM(E115:G115)=0),"Спящий",AND(SUM(B115:G115)=0),"Ушедший")</f>
        <v>Действующий</v>
      </c>
      <c r="I115" s="3">
        <f>IF(AND(SUM(B115:D115)=0,SUM(E115:G115)&gt;0),1,0)</f>
        <v>0</v>
      </c>
      <c r="J115" s="3">
        <f t="shared" si="4"/>
        <v>1</v>
      </c>
      <c r="K115" s="3">
        <f t="shared" si="5"/>
        <v>0</v>
      </c>
      <c r="L115" s="3">
        <f t="shared" si="6"/>
        <v>0</v>
      </c>
      <c r="M115" s="3" t="str" cm="1">
        <f t="array" ref="M115">_xlfn.IFS(I115=1,$I$11,J115=1,$J$11,K115=1,$K$11,L115=1,$L$11)</f>
        <v>Действующий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3">
      <c r="A116" s="6" t="s">
        <v>385</v>
      </c>
      <c r="B116" s="6"/>
      <c r="C116" s="6"/>
      <c r="D116" s="6"/>
      <c r="E116" s="6"/>
      <c r="F116" s="6">
        <v>1</v>
      </c>
      <c r="G116" s="6"/>
      <c r="H116" s="9" t="str" cm="1">
        <f t="array" ref="H116">_xlfn.IFS(AND(SUM(B116:D116)=0,SUM(E116:G116)&gt;0),"Новый",AND(SUM(B116:D116)&gt;0,SUM(E116:G116)&gt;0),"Действующий",AND(SUM(B116:D116)&gt;0,SUM(E116:G116)=0),"Спящий",AND(SUM(B116:G116)=0),"Ушедший")</f>
        <v>Новый</v>
      </c>
      <c r="I116" s="3">
        <f>IF(AND(SUM(B116:D116)=0,SUM(E116:G116)&gt;0),1,0)</f>
        <v>1</v>
      </c>
      <c r="J116" s="3">
        <f t="shared" si="4"/>
        <v>0</v>
      </c>
      <c r="K116" s="3">
        <f t="shared" si="5"/>
        <v>0</v>
      </c>
      <c r="L116" s="3">
        <f t="shared" si="6"/>
        <v>0</v>
      </c>
      <c r="M116" s="3" t="str" cm="1">
        <f t="array" ref="M116">_xlfn.IFS(I116=1,$I$11,J116=1,$J$11,K116=1,$K$11,L116=1,$L$11)</f>
        <v>Новый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 x14ac:dyDescent="0.3">
      <c r="A117" s="6" t="s">
        <v>386</v>
      </c>
      <c r="B117" s="6"/>
      <c r="C117" s="6"/>
      <c r="D117" s="6">
        <v>1</v>
      </c>
      <c r="E117" s="6"/>
      <c r="F117" s="6"/>
      <c r="G117" s="6"/>
      <c r="H117" s="9" t="str" cm="1">
        <f t="array" ref="H117">_xlfn.IFS(AND(SUM(B117:D117)=0,SUM(E117:G117)&gt;0),"Новый",AND(SUM(B117:D117)&gt;0,SUM(E117:G117)&gt;0),"Действующий",AND(SUM(B117:D117)&gt;0,SUM(E117:G117)=0),"Спящий",AND(SUM(B117:G117)=0),"Ушедший")</f>
        <v>Спящий</v>
      </c>
      <c r="I117" s="3">
        <f>IF(AND(SUM(B117:D117)=0,SUM(E117:G117)&gt;0),1,0)</f>
        <v>0</v>
      </c>
      <c r="J117" s="3">
        <f t="shared" si="4"/>
        <v>0</v>
      </c>
      <c r="K117" s="3">
        <f t="shared" si="5"/>
        <v>1</v>
      </c>
      <c r="L117" s="3">
        <f t="shared" si="6"/>
        <v>0</v>
      </c>
      <c r="M117" s="3" t="str" cm="1">
        <f t="array" ref="M117">_xlfn.IFS(I117=1,$I$11,J117=1,$J$11,K117=1,$K$11,L117=1,$L$11)</f>
        <v>Спящий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3">
      <c r="A118" s="6" t="s">
        <v>387</v>
      </c>
      <c r="B118" s="6"/>
      <c r="C118" s="6">
        <v>1</v>
      </c>
      <c r="D118" s="6">
        <v>1</v>
      </c>
      <c r="E118" s="6">
        <v>1</v>
      </c>
      <c r="F118" s="6">
        <v>2</v>
      </c>
      <c r="G118" s="6">
        <v>1</v>
      </c>
      <c r="H118" s="9" t="str" cm="1">
        <f t="array" ref="H118">_xlfn.IFS(AND(SUM(B118:D118)=0,SUM(E118:G118)&gt;0),"Новый",AND(SUM(B118:D118)&gt;0,SUM(E118:G118)&gt;0),"Действующий",AND(SUM(B118:D118)&gt;0,SUM(E118:G118)=0),"Спящий",AND(SUM(B118:G118)=0),"Ушедший")</f>
        <v>Действующий</v>
      </c>
      <c r="I118" s="3">
        <f>IF(AND(SUM(B118:D118)=0,SUM(E118:G118)&gt;0),1,0)</f>
        <v>0</v>
      </c>
      <c r="J118" s="3">
        <f t="shared" si="4"/>
        <v>1</v>
      </c>
      <c r="K118" s="3">
        <f t="shared" si="5"/>
        <v>0</v>
      </c>
      <c r="L118" s="3">
        <f t="shared" si="6"/>
        <v>0</v>
      </c>
      <c r="M118" s="3" t="str" cm="1">
        <f t="array" ref="M118">_xlfn.IFS(I118=1,$I$11,J118=1,$J$11,K118=1,$K$11,L118=1,$L$11)</f>
        <v>Действующий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 x14ac:dyDescent="0.3">
      <c r="A119" s="6" t="s">
        <v>388</v>
      </c>
      <c r="B119" s="6"/>
      <c r="C119" s="6"/>
      <c r="D119" s="6"/>
      <c r="E119" s="6"/>
      <c r="F119" s="6"/>
      <c r="G119" s="6">
        <v>1</v>
      </c>
      <c r="H119" s="9" t="str" cm="1">
        <f t="array" ref="H119">_xlfn.IFS(AND(SUM(B119:D119)=0,SUM(E119:G119)&gt;0),"Новый",AND(SUM(B119:D119)&gt;0,SUM(E119:G119)&gt;0),"Действующий",AND(SUM(B119:D119)&gt;0,SUM(E119:G119)=0),"Спящий",AND(SUM(B119:G119)=0),"Ушедший")</f>
        <v>Новый</v>
      </c>
      <c r="I119" s="3">
        <f>IF(AND(SUM(B119:D119)=0,SUM(E119:G119)&gt;0),1,0)</f>
        <v>1</v>
      </c>
      <c r="J119" s="3">
        <f t="shared" si="4"/>
        <v>0</v>
      </c>
      <c r="K119" s="3">
        <f t="shared" si="5"/>
        <v>0</v>
      </c>
      <c r="L119" s="3">
        <f t="shared" si="6"/>
        <v>0</v>
      </c>
      <c r="M119" s="3" t="str" cm="1">
        <f t="array" ref="M119">_xlfn.IFS(I119=1,$I$11,J119=1,$J$11,K119=1,$K$11,L119=1,$L$11)</f>
        <v>Новый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3">
      <c r="A120" s="6" t="s">
        <v>389</v>
      </c>
      <c r="B120" s="6"/>
      <c r="C120" s="6"/>
      <c r="D120" s="6">
        <v>1</v>
      </c>
      <c r="E120" s="6"/>
      <c r="F120" s="6"/>
      <c r="G120" s="6"/>
      <c r="H120" s="9" t="str" cm="1">
        <f t="array" ref="H120">_xlfn.IFS(AND(SUM(B120:D120)=0,SUM(E120:G120)&gt;0),"Новый",AND(SUM(B120:D120)&gt;0,SUM(E120:G120)&gt;0),"Действующий",AND(SUM(B120:D120)&gt;0,SUM(E120:G120)=0),"Спящий",AND(SUM(B120:G120)=0),"Ушедший")</f>
        <v>Спящий</v>
      </c>
      <c r="I120" s="3">
        <f>IF(AND(SUM(B120:D120)=0,SUM(E120:G120)&gt;0),1,0)</f>
        <v>0</v>
      </c>
      <c r="J120" s="3">
        <f t="shared" si="4"/>
        <v>0</v>
      </c>
      <c r="K120" s="3">
        <f t="shared" si="5"/>
        <v>1</v>
      </c>
      <c r="L120" s="3">
        <f t="shared" si="6"/>
        <v>0</v>
      </c>
      <c r="M120" s="3" t="str" cm="1">
        <f t="array" ref="M120">_xlfn.IFS(I120=1,$I$11,J120=1,$J$11,K120=1,$K$11,L120=1,$L$11)</f>
        <v>Спящий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 x14ac:dyDescent="0.3">
      <c r="A121" s="6" t="s">
        <v>390</v>
      </c>
      <c r="B121" s="6"/>
      <c r="C121" s="6"/>
      <c r="D121" s="6"/>
      <c r="E121" s="6">
        <v>1</v>
      </c>
      <c r="F121" s="6"/>
      <c r="G121" s="6"/>
      <c r="H121" s="9" t="str" cm="1">
        <f t="array" ref="H121">_xlfn.IFS(AND(SUM(B121:D121)=0,SUM(E121:G121)&gt;0),"Новый",AND(SUM(B121:D121)&gt;0,SUM(E121:G121)&gt;0),"Действующий",AND(SUM(B121:D121)&gt;0,SUM(E121:G121)=0),"Спящий",AND(SUM(B121:G121)=0),"Ушедший")</f>
        <v>Новый</v>
      </c>
      <c r="I121" s="3">
        <f>IF(AND(SUM(B121:D121)=0,SUM(E121:G121)&gt;0),1,0)</f>
        <v>1</v>
      </c>
      <c r="J121" s="3">
        <f t="shared" si="4"/>
        <v>0</v>
      </c>
      <c r="K121" s="3">
        <f t="shared" si="5"/>
        <v>0</v>
      </c>
      <c r="L121" s="3">
        <f t="shared" si="6"/>
        <v>0</v>
      </c>
      <c r="M121" s="3" t="str" cm="1">
        <f t="array" ref="M121">_xlfn.IFS(I121=1,$I$11,J121=1,$J$11,K121=1,$K$11,L121=1,$L$11)</f>
        <v>Новый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3">
      <c r="A122" s="6" t="s">
        <v>391</v>
      </c>
      <c r="B122" s="6">
        <v>1</v>
      </c>
      <c r="C122" s="6"/>
      <c r="D122" s="6">
        <v>2</v>
      </c>
      <c r="E122" s="6">
        <v>2</v>
      </c>
      <c r="F122" s="6">
        <v>1</v>
      </c>
      <c r="G122" s="6"/>
      <c r="H122" s="9" t="str" cm="1">
        <f t="array" ref="H122">_xlfn.IFS(AND(SUM(B122:D122)=0,SUM(E122:G122)&gt;0),"Новый",AND(SUM(B122:D122)&gt;0,SUM(E122:G122)&gt;0),"Действующий",AND(SUM(B122:D122)&gt;0,SUM(E122:G122)=0),"Спящий",AND(SUM(B122:G122)=0),"Ушедший")</f>
        <v>Действующий</v>
      </c>
      <c r="I122" s="3">
        <f>IF(AND(SUM(B122:D122)=0,SUM(E122:G122)&gt;0),1,0)</f>
        <v>0</v>
      </c>
      <c r="J122" s="3">
        <f t="shared" si="4"/>
        <v>1</v>
      </c>
      <c r="K122" s="3">
        <f t="shared" si="5"/>
        <v>0</v>
      </c>
      <c r="L122" s="3">
        <f t="shared" si="6"/>
        <v>0</v>
      </c>
      <c r="M122" s="3" t="str" cm="1">
        <f t="array" ref="M122">_xlfn.IFS(I122=1,$I$11,J122=1,$J$11,K122=1,$K$11,L122=1,$L$11)</f>
        <v>Действующий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 x14ac:dyDescent="0.3">
      <c r="A123" s="6" t="s">
        <v>392</v>
      </c>
      <c r="B123" s="6"/>
      <c r="C123" s="6"/>
      <c r="D123" s="6">
        <v>1</v>
      </c>
      <c r="E123" s="6"/>
      <c r="F123" s="6">
        <v>2</v>
      </c>
      <c r="G123" s="6"/>
      <c r="H123" s="9" t="str" cm="1">
        <f t="array" ref="H123">_xlfn.IFS(AND(SUM(B123:D123)=0,SUM(E123:G123)&gt;0),"Новый",AND(SUM(B123:D123)&gt;0,SUM(E123:G123)&gt;0),"Действующий",AND(SUM(B123:D123)&gt;0,SUM(E123:G123)=0),"Спящий",AND(SUM(B123:G123)=0),"Ушедший")</f>
        <v>Действующий</v>
      </c>
      <c r="I123" s="3">
        <f>IF(AND(SUM(B123:D123)=0,SUM(E123:G123)&gt;0),1,0)</f>
        <v>0</v>
      </c>
      <c r="J123" s="3">
        <f t="shared" si="4"/>
        <v>1</v>
      </c>
      <c r="K123" s="3">
        <f t="shared" si="5"/>
        <v>0</v>
      </c>
      <c r="L123" s="3">
        <f t="shared" si="6"/>
        <v>0</v>
      </c>
      <c r="M123" s="3" t="str" cm="1">
        <f t="array" ref="M123">_xlfn.IFS(I123=1,$I$11,J123=1,$J$11,K123=1,$K$11,L123=1,$L$11)</f>
        <v>Действующий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3">
      <c r="A124" s="6" t="s">
        <v>393</v>
      </c>
      <c r="B124" s="6"/>
      <c r="C124" s="6"/>
      <c r="D124" s="6"/>
      <c r="E124" s="6"/>
      <c r="F124" s="6">
        <v>1</v>
      </c>
      <c r="G124" s="6"/>
      <c r="H124" s="9" t="str" cm="1">
        <f t="array" ref="H124">_xlfn.IFS(AND(SUM(B124:D124)=0,SUM(E124:G124)&gt;0),"Новый",AND(SUM(B124:D124)&gt;0,SUM(E124:G124)&gt;0),"Действующий",AND(SUM(B124:D124)&gt;0,SUM(E124:G124)=0),"Спящий",AND(SUM(B124:G124)=0),"Ушедший")</f>
        <v>Новый</v>
      </c>
      <c r="I124" s="3">
        <f>IF(AND(SUM(B124:D124)=0,SUM(E124:G124)&gt;0),1,0)</f>
        <v>1</v>
      </c>
      <c r="J124" s="3">
        <f t="shared" si="4"/>
        <v>0</v>
      </c>
      <c r="K124" s="3">
        <f t="shared" si="5"/>
        <v>0</v>
      </c>
      <c r="L124" s="3">
        <f t="shared" si="6"/>
        <v>0</v>
      </c>
      <c r="M124" s="3" t="str" cm="1">
        <f t="array" ref="M124">_xlfn.IFS(I124=1,$I$11,J124=1,$J$11,K124=1,$K$11,L124=1,$L$11)</f>
        <v>Новый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3">
      <c r="A125" s="6" t="s">
        <v>394</v>
      </c>
      <c r="B125" s="6"/>
      <c r="C125" s="6"/>
      <c r="D125" s="6">
        <v>1</v>
      </c>
      <c r="E125" s="6"/>
      <c r="F125" s="6">
        <v>1</v>
      </c>
      <c r="G125" s="6"/>
      <c r="H125" s="9" t="str" cm="1">
        <f t="array" ref="H125">_xlfn.IFS(AND(SUM(B125:D125)=0,SUM(E125:G125)&gt;0),"Новый",AND(SUM(B125:D125)&gt;0,SUM(E125:G125)&gt;0),"Действующий",AND(SUM(B125:D125)&gt;0,SUM(E125:G125)=0),"Спящий",AND(SUM(B125:G125)=0),"Ушедший")</f>
        <v>Действующий</v>
      </c>
      <c r="I125" s="3">
        <f>IF(AND(SUM(B125:D125)=0,SUM(E125:G125)&gt;0),1,0)</f>
        <v>0</v>
      </c>
      <c r="J125" s="3">
        <f t="shared" si="4"/>
        <v>1</v>
      </c>
      <c r="K125" s="3">
        <f t="shared" si="5"/>
        <v>0</v>
      </c>
      <c r="L125" s="3">
        <f t="shared" si="6"/>
        <v>0</v>
      </c>
      <c r="M125" s="3" t="str" cm="1">
        <f t="array" ref="M125">_xlfn.IFS(I125=1,$I$11,J125=1,$J$11,K125=1,$K$11,L125=1,$L$11)</f>
        <v>Действующий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3">
      <c r="A126" s="6" t="s">
        <v>395</v>
      </c>
      <c r="B126" s="6"/>
      <c r="C126" s="6">
        <v>2</v>
      </c>
      <c r="D126" s="6"/>
      <c r="E126" s="6"/>
      <c r="F126" s="6"/>
      <c r="G126" s="6"/>
      <c r="H126" s="9" t="str" cm="1">
        <f t="array" ref="H126">_xlfn.IFS(AND(SUM(B126:D126)=0,SUM(E126:G126)&gt;0),"Новый",AND(SUM(B126:D126)&gt;0,SUM(E126:G126)&gt;0),"Действующий",AND(SUM(B126:D126)&gt;0,SUM(E126:G126)=0),"Спящий",AND(SUM(B126:G126)=0),"Ушедший")</f>
        <v>Спящий</v>
      </c>
      <c r="I126" s="3">
        <f>IF(AND(SUM(B126:D126)=0,SUM(E126:G126)&gt;0),1,0)</f>
        <v>0</v>
      </c>
      <c r="J126" s="3">
        <f t="shared" si="4"/>
        <v>0</v>
      </c>
      <c r="K126" s="3">
        <f t="shared" si="5"/>
        <v>1</v>
      </c>
      <c r="L126" s="3">
        <f t="shared" si="6"/>
        <v>0</v>
      </c>
      <c r="M126" s="3" t="str" cm="1">
        <f t="array" ref="M126">_xlfn.IFS(I126=1,$I$11,J126=1,$J$11,K126=1,$K$11,L126=1,$L$11)</f>
        <v>Спящий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 x14ac:dyDescent="0.3">
      <c r="A127" s="6" t="s">
        <v>396</v>
      </c>
      <c r="B127" s="6"/>
      <c r="C127" s="6"/>
      <c r="D127" s="6"/>
      <c r="E127" s="6"/>
      <c r="F127" s="6"/>
      <c r="G127" s="6"/>
      <c r="H127" s="9" t="str" cm="1">
        <f t="array" ref="H127">_xlfn.IFS(AND(SUM(B127:D127)=0,SUM(E127:G127)&gt;0),"Новый",AND(SUM(B127:D127)&gt;0,SUM(E127:G127)&gt;0),"Действующий",AND(SUM(B127:D127)&gt;0,SUM(E127:G127)=0),"Спящий",AND(SUM(B127:G127)=0),"Ушедший")</f>
        <v>Ушедший</v>
      </c>
      <c r="I127" s="3">
        <f>IF(AND(SUM(B127:D127)=0,SUM(E127:G127)&gt;0),1,0)</f>
        <v>0</v>
      </c>
      <c r="J127" s="3">
        <f t="shared" si="4"/>
        <v>0</v>
      </c>
      <c r="K127" s="3">
        <f t="shared" si="5"/>
        <v>0</v>
      </c>
      <c r="L127" s="3">
        <f t="shared" si="6"/>
        <v>1</v>
      </c>
      <c r="M127" s="3" t="str" cm="1">
        <f t="array" ref="M127">_xlfn.IFS(I127=1,$I$11,J127=1,$J$11,K127=1,$K$11,L127=1,$L$11)</f>
        <v>Ушедший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3">
      <c r="A128" s="6" t="s">
        <v>397</v>
      </c>
      <c r="B128" s="6"/>
      <c r="C128" s="6">
        <v>1</v>
      </c>
      <c r="D128" s="6"/>
      <c r="E128" s="6"/>
      <c r="F128" s="6"/>
      <c r="G128" s="6"/>
      <c r="H128" s="9" t="str" cm="1">
        <f t="array" ref="H128">_xlfn.IFS(AND(SUM(B128:D128)=0,SUM(E128:G128)&gt;0),"Новый",AND(SUM(B128:D128)&gt;0,SUM(E128:G128)&gt;0),"Действующий",AND(SUM(B128:D128)&gt;0,SUM(E128:G128)=0),"Спящий",AND(SUM(B128:G128)=0),"Ушедший")</f>
        <v>Спящий</v>
      </c>
      <c r="I128" s="3">
        <f>IF(AND(SUM(B128:D128)=0,SUM(E128:G128)&gt;0),1,0)</f>
        <v>0</v>
      </c>
      <c r="J128" s="3">
        <f t="shared" si="4"/>
        <v>0</v>
      </c>
      <c r="K128" s="3">
        <f t="shared" si="5"/>
        <v>1</v>
      </c>
      <c r="L128" s="3">
        <f t="shared" si="6"/>
        <v>0</v>
      </c>
      <c r="M128" s="3" t="str" cm="1">
        <f t="array" ref="M128">_xlfn.IFS(I128=1,$I$11,J128=1,$J$11,K128=1,$K$11,L128=1,$L$11)</f>
        <v>Спящий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3">
      <c r="A129" s="6" t="s">
        <v>398</v>
      </c>
      <c r="B129" s="6"/>
      <c r="C129" s="6"/>
      <c r="D129" s="6"/>
      <c r="E129" s="6"/>
      <c r="F129" s="6"/>
      <c r="G129" s="6">
        <v>1</v>
      </c>
      <c r="H129" s="9" t="str" cm="1">
        <f t="array" ref="H129">_xlfn.IFS(AND(SUM(B129:D129)=0,SUM(E129:G129)&gt;0),"Новый",AND(SUM(B129:D129)&gt;0,SUM(E129:G129)&gt;0),"Действующий",AND(SUM(B129:D129)&gt;0,SUM(E129:G129)=0),"Спящий",AND(SUM(B129:G129)=0),"Ушедший")</f>
        <v>Новый</v>
      </c>
      <c r="I129" s="3">
        <f>IF(AND(SUM(B129:D129)=0,SUM(E129:G129)&gt;0),1,0)</f>
        <v>1</v>
      </c>
      <c r="J129" s="3">
        <f t="shared" si="4"/>
        <v>0</v>
      </c>
      <c r="K129" s="3">
        <f t="shared" si="5"/>
        <v>0</v>
      </c>
      <c r="L129" s="3">
        <f t="shared" si="6"/>
        <v>0</v>
      </c>
      <c r="M129" s="3" t="str" cm="1">
        <f t="array" ref="M129">_xlfn.IFS(I129=1,$I$11,J129=1,$J$11,K129=1,$K$11,L129=1,$L$11)</f>
        <v>Новый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3">
      <c r="A130" s="6" t="s">
        <v>399</v>
      </c>
      <c r="B130" s="6"/>
      <c r="C130" s="6">
        <v>1</v>
      </c>
      <c r="D130" s="6"/>
      <c r="E130" s="6"/>
      <c r="F130" s="6"/>
      <c r="G130" s="6"/>
      <c r="H130" s="9" t="str" cm="1">
        <f t="array" ref="H130">_xlfn.IFS(AND(SUM(B130:D130)=0,SUM(E130:G130)&gt;0),"Новый",AND(SUM(B130:D130)&gt;0,SUM(E130:G130)&gt;0),"Действующий",AND(SUM(B130:D130)&gt;0,SUM(E130:G130)=0),"Спящий",AND(SUM(B130:G130)=0),"Ушедший")</f>
        <v>Спящий</v>
      </c>
      <c r="I130" s="3">
        <f>IF(AND(SUM(B130:D130)=0,SUM(E130:G130)&gt;0),1,0)</f>
        <v>0</v>
      </c>
      <c r="J130" s="3">
        <f t="shared" si="4"/>
        <v>0</v>
      </c>
      <c r="K130" s="3">
        <f t="shared" si="5"/>
        <v>1</v>
      </c>
      <c r="L130" s="3">
        <f t="shared" si="6"/>
        <v>0</v>
      </c>
      <c r="M130" s="3" t="str" cm="1">
        <f t="array" ref="M130">_xlfn.IFS(I130=1,$I$11,J130=1,$J$11,K130=1,$K$11,L130=1,$L$11)</f>
        <v>Спящий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 x14ac:dyDescent="0.3">
      <c r="A131" s="6" t="s">
        <v>400</v>
      </c>
      <c r="B131" s="6"/>
      <c r="C131" s="6"/>
      <c r="D131" s="6"/>
      <c r="E131" s="6"/>
      <c r="F131" s="6"/>
      <c r="G131" s="6">
        <v>1</v>
      </c>
      <c r="H131" s="9" t="str" cm="1">
        <f t="array" ref="H131">_xlfn.IFS(AND(SUM(B131:D131)=0,SUM(E131:G131)&gt;0),"Новый",AND(SUM(B131:D131)&gt;0,SUM(E131:G131)&gt;0),"Действующий",AND(SUM(B131:D131)&gt;0,SUM(E131:G131)=0),"Спящий",AND(SUM(B131:G131)=0),"Ушедший")</f>
        <v>Новый</v>
      </c>
      <c r="I131" s="3">
        <f>IF(AND(SUM(B131:D131)=0,SUM(E131:G131)&gt;0),1,0)</f>
        <v>1</v>
      </c>
      <c r="J131" s="3">
        <f t="shared" si="4"/>
        <v>0</v>
      </c>
      <c r="K131" s="3">
        <f t="shared" si="5"/>
        <v>0</v>
      </c>
      <c r="L131" s="3">
        <f t="shared" si="6"/>
        <v>0</v>
      </c>
      <c r="M131" s="3" t="str" cm="1">
        <f t="array" ref="M131">_xlfn.IFS(I131=1,$I$11,J131=1,$J$11,K131=1,$K$11,L131=1,$L$11)</f>
        <v>Новый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3">
      <c r="A132" s="6" t="s">
        <v>401</v>
      </c>
      <c r="B132" s="6"/>
      <c r="C132" s="6">
        <v>1</v>
      </c>
      <c r="D132" s="6">
        <v>1</v>
      </c>
      <c r="E132" s="6"/>
      <c r="F132" s="6"/>
      <c r="G132" s="6"/>
      <c r="H132" s="9" t="str" cm="1">
        <f t="array" ref="H132">_xlfn.IFS(AND(SUM(B132:D132)=0,SUM(E132:G132)&gt;0),"Новый",AND(SUM(B132:D132)&gt;0,SUM(E132:G132)&gt;0),"Действующий",AND(SUM(B132:D132)&gt;0,SUM(E132:G132)=0),"Спящий",AND(SUM(B132:G132)=0),"Ушедший")</f>
        <v>Спящий</v>
      </c>
      <c r="I132" s="3">
        <f>IF(AND(SUM(B132:D132)=0,SUM(E132:G132)&gt;0),1,0)</f>
        <v>0</v>
      </c>
      <c r="J132" s="3">
        <f t="shared" si="4"/>
        <v>0</v>
      </c>
      <c r="K132" s="3">
        <f t="shared" si="5"/>
        <v>1</v>
      </c>
      <c r="L132" s="3">
        <f t="shared" si="6"/>
        <v>0</v>
      </c>
      <c r="M132" s="3" t="str" cm="1">
        <f t="array" ref="M132">_xlfn.IFS(I132=1,$I$11,J132=1,$J$11,K132=1,$K$11,L132=1,$L$11)</f>
        <v>Спящий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 x14ac:dyDescent="0.3">
      <c r="A133" s="6" t="s">
        <v>402</v>
      </c>
      <c r="B133" s="6">
        <v>3</v>
      </c>
      <c r="C133" s="6">
        <v>1</v>
      </c>
      <c r="D133" s="6"/>
      <c r="E133" s="6"/>
      <c r="F133" s="6"/>
      <c r="G133" s="6">
        <v>1</v>
      </c>
      <c r="H133" s="9" t="str" cm="1">
        <f t="array" ref="H133">_xlfn.IFS(AND(SUM(B133:D133)=0,SUM(E133:G133)&gt;0),"Новый",AND(SUM(B133:D133)&gt;0,SUM(E133:G133)&gt;0),"Действующий",AND(SUM(B133:D133)&gt;0,SUM(E133:G133)=0),"Спящий",AND(SUM(B133:G133)=0),"Ушедший")</f>
        <v>Действующий</v>
      </c>
      <c r="I133" s="3">
        <f>IF(AND(SUM(B133:D133)=0,SUM(E133:G133)&gt;0),1,0)</f>
        <v>0</v>
      </c>
      <c r="J133" s="3">
        <f t="shared" si="4"/>
        <v>1</v>
      </c>
      <c r="K133" s="3">
        <f t="shared" si="5"/>
        <v>0</v>
      </c>
      <c r="L133" s="3">
        <f t="shared" si="6"/>
        <v>0</v>
      </c>
      <c r="M133" s="3" t="str" cm="1">
        <f t="array" ref="M133">_xlfn.IFS(I133=1,$I$11,J133=1,$J$11,K133=1,$K$11,L133=1,$L$11)</f>
        <v>Действующий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3">
      <c r="A134" s="6" t="s">
        <v>403</v>
      </c>
      <c r="B134" s="6">
        <v>1</v>
      </c>
      <c r="C134" s="6"/>
      <c r="D134" s="6"/>
      <c r="E134" s="6"/>
      <c r="F134" s="6">
        <v>1</v>
      </c>
      <c r="G134" s="6"/>
      <c r="H134" s="9" t="str" cm="1">
        <f t="array" ref="H134">_xlfn.IFS(AND(SUM(B134:D134)=0,SUM(E134:G134)&gt;0),"Новый",AND(SUM(B134:D134)&gt;0,SUM(E134:G134)&gt;0),"Действующий",AND(SUM(B134:D134)&gt;0,SUM(E134:G134)=0),"Спящий",AND(SUM(B134:G134)=0),"Ушедший")</f>
        <v>Действующий</v>
      </c>
      <c r="I134" s="3">
        <f>IF(AND(SUM(B134:D134)=0,SUM(E134:G134)&gt;0),1,0)</f>
        <v>0</v>
      </c>
      <c r="J134" s="3">
        <f t="shared" si="4"/>
        <v>1</v>
      </c>
      <c r="K134" s="3">
        <f t="shared" si="5"/>
        <v>0</v>
      </c>
      <c r="L134" s="3">
        <f t="shared" si="6"/>
        <v>0</v>
      </c>
      <c r="M134" s="3" t="str" cm="1">
        <f t="array" ref="M134">_xlfn.IFS(I134=1,$I$11,J134=1,$J$11,K134=1,$K$11,L134=1,$L$11)</f>
        <v>Действующий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 x14ac:dyDescent="0.3">
      <c r="A135" s="6" t="s">
        <v>404</v>
      </c>
      <c r="B135" s="6"/>
      <c r="C135" s="6"/>
      <c r="D135" s="6"/>
      <c r="E135" s="6">
        <v>1</v>
      </c>
      <c r="F135" s="6"/>
      <c r="G135" s="6"/>
      <c r="H135" s="9" t="str" cm="1">
        <f t="array" ref="H135">_xlfn.IFS(AND(SUM(B135:D135)=0,SUM(E135:G135)&gt;0),"Новый",AND(SUM(B135:D135)&gt;0,SUM(E135:G135)&gt;0),"Действующий",AND(SUM(B135:D135)&gt;0,SUM(E135:G135)=0),"Спящий",AND(SUM(B135:G135)=0),"Ушедший")</f>
        <v>Новый</v>
      </c>
      <c r="I135" s="3">
        <f>IF(AND(SUM(B135:D135)=0,SUM(E135:G135)&gt;0),1,0)</f>
        <v>1</v>
      </c>
      <c r="J135" s="3">
        <f t="shared" si="4"/>
        <v>0</v>
      </c>
      <c r="K135" s="3">
        <f t="shared" si="5"/>
        <v>0</v>
      </c>
      <c r="L135" s="3">
        <f t="shared" si="6"/>
        <v>0</v>
      </c>
      <c r="M135" s="3" t="str" cm="1">
        <f t="array" ref="M135">_xlfn.IFS(I135=1,$I$11,J135=1,$J$11,K135=1,$K$11,L135=1,$L$11)</f>
        <v>Новый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3">
      <c r="A136" s="6" t="s">
        <v>405</v>
      </c>
      <c r="B136" s="6"/>
      <c r="C136" s="6"/>
      <c r="D136" s="6"/>
      <c r="E136" s="6"/>
      <c r="F136" s="6">
        <v>1</v>
      </c>
      <c r="G136" s="6"/>
      <c r="H136" s="9" t="str" cm="1">
        <f t="array" ref="H136">_xlfn.IFS(AND(SUM(B136:D136)=0,SUM(E136:G136)&gt;0),"Новый",AND(SUM(B136:D136)&gt;0,SUM(E136:G136)&gt;0),"Действующий",AND(SUM(B136:D136)&gt;0,SUM(E136:G136)=0),"Спящий",AND(SUM(B136:G136)=0),"Ушедший")</f>
        <v>Новый</v>
      </c>
      <c r="I136" s="3">
        <f>IF(AND(SUM(B136:D136)=0,SUM(E136:G136)&gt;0),1,0)</f>
        <v>1</v>
      </c>
      <c r="J136" s="3">
        <f t="shared" si="4"/>
        <v>0</v>
      </c>
      <c r="K136" s="3">
        <f t="shared" si="5"/>
        <v>0</v>
      </c>
      <c r="L136" s="3">
        <f t="shared" si="6"/>
        <v>0</v>
      </c>
      <c r="M136" s="3" t="str" cm="1">
        <f t="array" ref="M136">_xlfn.IFS(I136=1,$I$11,J136=1,$J$11,K136=1,$K$11,L136=1,$L$11)</f>
        <v>Новый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 x14ac:dyDescent="0.3">
      <c r="A137" s="6" t="s">
        <v>406</v>
      </c>
      <c r="B137" s="6"/>
      <c r="C137" s="6"/>
      <c r="D137" s="6"/>
      <c r="E137" s="6"/>
      <c r="F137" s="6">
        <v>1</v>
      </c>
      <c r="G137" s="6"/>
      <c r="H137" s="9" t="str" cm="1">
        <f t="array" ref="H137">_xlfn.IFS(AND(SUM(B137:D137)=0,SUM(E137:G137)&gt;0),"Новый",AND(SUM(B137:D137)&gt;0,SUM(E137:G137)&gt;0),"Действующий",AND(SUM(B137:D137)&gt;0,SUM(E137:G137)=0),"Спящий",AND(SUM(B137:G137)=0),"Ушедший")</f>
        <v>Новый</v>
      </c>
      <c r="I137" s="3">
        <f>IF(AND(SUM(B137:D137)=0,SUM(E137:G137)&gt;0),1,0)</f>
        <v>1</v>
      </c>
      <c r="J137" s="3">
        <f t="shared" si="4"/>
        <v>0</v>
      </c>
      <c r="K137" s="3">
        <f t="shared" si="5"/>
        <v>0</v>
      </c>
      <c r="L137" s="3">
        <f t="shared" si="6"/>
        <v>0</v>
      </c>
      <c r="M137" s="3" t="str" cm="1">
        <f t="array" ref="M137">_xlfn.IFS(I137=1,$I$11,J137=1,$J$11,K137=1,$K$11,L137=1,$L$11)</f>
        <v>Новый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3">
      <c r="A138" s="6" t="s">
        <v>407</v>
      </c>
      <c r="B138" s="6"/>
      <c r="C138" s="6"/>
      <c r="D138" s="6"/>
      <c r="E138" s="6">
        <v>1</v>
      </c>
      <c r="F138" s="6"/>
      <c r="G138" s="6"/>
      <c r="H138" s="9" t="str" cm="1">
        <f t="array" ref="H138">_xlfn.IFS(AND(SUM(B138:D138)=0,SUM(E138:G138)&gt;0),"Новый",AND(SUM(B138:D138)&gt;0,SUM(E138:G138)&gt;0),"Действующий",AND(SUM(B138:D138)&gt;0,SUM(E138:G138)=0),"Спящий",AND(SUM(B138:G138)=0),"Ушедший")</f>
        <v>Новый</v>
      </c>
      <c r="I138" s="3">
        <f>IF(AND(SUM(B138:D138)=0,SUM(E138:G138)&gt;0),1,0)</f>
        <v>1</v>
      </c>
      <c r="J138" s="3">
        <f t="shared" si="4"/>
        <v>0</v>
      </c>
      <c r="K138" s="3">
        <f t="shared" si="5"/>
        <v>0</v>
      </c>
      <c r="L138" s="3">
        <f t="shared" si="6"/>
        <v>0</v>
      </c>
      <c r="M138" s="3" t="str" cm="1">
        <f t="array" ref="M138">_xlfn.IFS(I138=1,$I$11,J138=1,$J$11,K138=1,$K$11,L138=1,$L$11)</f>
        <v>Новый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 x14ac:dyDescent="0.3">
      <c r="A139" s="6" t="s">
        <v>408</v>
      </c>
      <c r="B139" s="6"/>
      <c r="C139" s="6"/>
      <c r="D139" s="6"/>
      <c r="E139" s="6">
        <v>1</v>
      </c>
      <c r="F139" s="6"/>
      <c r="G139" s="6"/>
      <c r="H139" s="9" t="str" cm="1">
        <f t="array" ref="H139">_xlfn.IFS(AND(SUM(B139:D139)=0,SUM(E139:G139)&gt;0),"Новый",AND(SUM(B139:D139)&gt;0,SUM(E139:G139)&gt;0),"Действующий",AND(SUM(B139:D139)&gt;0,SUM(E139:G139)=0),"Спящий",AND(SUM(B139:G139)=0),"Ушедший")</f>
        <v>Новый</v>
      </c>
      <c r="I139" s="3">
        <f>IF(AND(SUM(B139:D139)=0,SUM(E139:G139)&gt;0),1,0)</f>
        <v>1</v>
      </c>
      <c r="J139" s="3">
        <f t="shared" si="4"/>
        <v>0</v>
      </c>
      <c r="K139" s="3">
        <f t="shared" si="5"/>
        <v>0</v>
      </c>
      <c r="L139" s="3">
        <f t="shared" si="6"/>
        <v>0</v>
      </c>
      <c r="M139" s="3" t="str" cm="1">
        <f t="array" ref="M139">_xlfn.IFS(I139=1,$I$11,J139=1,$J$11,K139=1,$K$11,L139=1,$L$11)</f>
        <v>Новый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3">
      <c r="A140" s="6" t="s">
        <v>409</v>
      </c>
      <c r="B140" s="6"/>
      <c r="C140" s="6"/>
      <c r="D140" s="6"/>
      <c r="E140" s="6"/>
      <c r="F140" s="6">
        <v>1</v>
      </c>
      <c r="G140" s="6"/>
      <c r="H140" s="9" t="str" cm="1">
        <f t="array" ref="H140">_xlfn.IFS(AND(SUM(B140:D140)=0,SUM(E140:G140)&gt;0),"Новый",AND(SUM(B140:D140)&gt;0,SUM(E140:G140)&gt;0),"Действующий",AND(SUM(B140:D140)&gt;0,SUM(E140:G140)=0),"Спящий",AND(SUM(B140:G140)=0),"Ушедший")</f>
        <v>Новый</v>
      </c>
      <c r="I140" s="3">
        <f>IF(AND(SUM(B140:D140)=0,SUM(E140:G140)&gt;0),1,0)</f>
        <v>1</v>
      </c>
      <c r="J140" s="3">
        <f t="shared" si="4"/>
        <v>0</v>
      </c>
      <c r="K140" s="3">
        <f t="shared" si="5"/>
        <v>0</v>
      </c>
      <c r="L140" s="3">
        <f t="shared" si="6"/>
        <v>0</v>
      </c>
      <c r="M140" s="3" t="str" cm="1">
        <f t="array" ref="M140">_xlfn.IFS(I140=1,$I$11,J140=1,$J$11,K140=1,$K$11,L140=1,$L$11)</f>
        <v>Новый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 x14ac:dyDescent="0.3">
      <c r="A141" s="6" t="s">
        <v>410</v>
      </c>
      <c r="B141" s="6"/>
      <c r="C141" s="6"/>
      <c r="D141" s="6"/>
      <c r="E141" s="6">
        <v>1</v>
      </c>
      <c r="F141" s="6"/>
      <c r="G141" s="6"/>
      <c r="H141" s="9" t="str" cm="1">
        <f t="array" ref="H141">_xlfn.IFS(AND(SUM(B141:D141)=0,SUM(E141:G141)&gt;0),"Новый",AND(SUM(B141:D141)&gt;0,SUM(E141:G141)&gt;0),"Действующий",AND(SUM(B141:D141)&gt;0,SUM(E141:G141)=0),"Спящий",AND(SUM(B141:G141)=0),"Ушедший")</f>
        <v>Новый</v>
      </c>
      <c r="I141" s="3">
        <f>IF(AND(SUM(B141:D141)=0,SUM(E141:G141)&gt;0),1,0)</f>
        <v>1</v>
      </c>
      <c r="J141" s="3">
        <f t="shared" ref="J141:J204" si="7">IF(AND(SUM(B141:D141)&gt;0,SUM(E141:G141)&gt;0),1,0)</f>
        <v>0</v>
      </c>
      <c r="K141" s="3">
        <f t="shared" ref="K141:K204" si="8">IF(AND(SUM(B141:D141)&gt;0,SUM(E141:G141)=0),1,0)</f>
        <v>0</v>
      </c>
      <c r="L141" s="3">
        <f t="shared" ref="L141:L204" si="9">IF(AND(SUM(B141:D141)=0,SUM(E141:G141)=0),1,0)</f>
        <v>0</v>
      </c>
      <c r="M141" s="3" t="str" cm="1">
        <f t="array" ref="M141">_xlfn.IFS(I141=1,$I$11,J141=1,$J$11,K141=1,$K$11,L141=1,$L$11)</f>
        <v>Новый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3">
      <c r="A142" s="6" t="s">
        <v>411</v>
      </c>
      <c r="B142" s="6"/>
      <c r="C142" s="6"/>
      <c r="D142" s="6">
        <v>1</v>
      </c>
      <c r="E142" s="6">
        <v>1</v>
      </c>
      <c r="F142" s="6"/>
      <c r="G142" s="6">
        <v>1</v>
      </c>
      <c r="H142" s="9" t="str" cm="1">
        <f t="array" ref="H142">_xlfn.IFS(AND(SUM(B142:D142)=0,SUM(E142:G142)&gt;0),"Новый",AND(SUM(B142:D142)&gt;0,SUM(E142:G142)&gt;0),"Действующий",AND(SUM(B142:D142)&gt;0,SUM(E142:G142)=0),"Спящий",AND(SUM(B142:G142)=0),"Ушедший")</f>
        <v>Действующий</v>
      </c>
      <c r="I142" s="3">
        <f>IF(AND(SUM(B142:D142)=0,SUM(E142:G142)&gt;0),1,0)</f>
        <v>0</v>
      </c>
      <c r="J142" s="3">
        <f t="shared" si="7"/>
        <v>1</v>
      </c>
      <c r="K142" s="3">
        <f t="shared" si="8"/>
        <v>0</v>
      </c>
      <c r="L142" s="3">
        <f t="shared" si="9"/>
        <v>0</v>
      </c>
      <c r="M142" s="3" t="str" cm="1">
        <f t="array" ref="M142">_xlfn.IFS(I142=1,$I$11,J142=1,$J$11,K142=1,$K$11,L142=1,$L$11)</f>
        <v>Действующий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 x14ac:dyDescent="0.3">
      <c r="A143" s="6" t="s">
        <v>412</v>
      </c>
      <c r="B143" s="6"/>
      <c r="C143" s="6"/>
      <c r="D143" s="6">
        <v>1</v>
      </c>
      <c r="E143" s="6"/>
      <c r="F143" s="6"/>
      <c r="G143" s="6"/>
      <c r="H143" s="9" t="str" cm="1">
        <f t="array" ref="H143">_xlfn.IFS(AND(SUM(B143:D143)=0,SUM(E143:G143)&gt;0),"Новый",AND(SUM(B143:D143)&gt;0,SUM(E143:G143)&gt;0),"Действующий",AND(SUM(B143:D143)&gt;0,SUM(E143:G143)=0),"Спящий",AND(SUM(B143:G143)=0),"Ушедший")</f>
        <v>Спящий</v>
      </c>
      <c r="I143" s="3">
        <f>IF(AND(SUM(B143:D143)=0,SUM(E143:G143)&gt;0),1,0)</f>
        <v>0</v>
      </c>
      <c r="J143" s="3">
        <f t="shared" si="7"/>
        <v>0</v>
      </c>
      <c r="K143" s="3">
        <f t="shared" si="8"/>
        <v>1</v>
      </c>
      <c r="L143" s="3">
        <f t="shared" si="9"/>
        <v>0</v>
      </c>
      <c r="M143" s="3" t="str" cm="1">
        <f t="array" ref="M143">_xlfn.IFS(I143=1,$I$11,J143=1,$J$11,K143=1,$K$11,L143=1,$L$11)</f>
        <v>Спящий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3">
      <c r="A144" s="6" t="s">
        <v>413</v>
      </c>
      <c r="B144" s="6"/>
      <c r="C144" s="6"/>
      <c r="D144" s="6"/>
      <c r="E144" s="6">
        <v>1</v>
      </c>
      <c r="F144" s="6"/>
      <c r="G144" s="6"/>
      <c r="H144" s="9" t="str" cm="1">
        <f t="array" ref="H144">_xlfn.IFS(AND(SUM(B144:D144)=0,SUM(E144:G144)&gt;0),"Новый",AND(SUM(B144:D144)&gt;0,SUM(E144:G144)&gt;0),"Действующий",AND(SUM(B144:D144)&gt;0,SUM(E144:G144)=0),"Спящий",AND(SUM(B144:G144)=0),"Ушедший")</f>
        <v>Новый</v>
      </c>
      <c r="I144" s="3">
        <f>IF(AND(SUM(B144:D144)=0,SUM(E144:G144)&gt;0),1,0)</f>
        <v>1</v>
      </c>
      <c r="J144" s="3">
        <f t="shared" si="7"/>
        <v>0</v>
      </c>
      <c r="K144" s="3">
        <f t="shared" si="8"/>
        <v>0</v>
      </c>
      <c r="L144" s="3">
        <f t="shared" si="9"/>
        <v>0</v>
      </c>
      <c r="M144" s="3" t="str" cm="1">
        <f t="array" ref="M144">_xlfn.IFS(I144=1,$I$11,J144=1,$J$11,K144=1,$K$11,L144=1,$L$11)</f>
        <v>Новый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 x14ac:dyDescent="0.3">
      <c r="A145" s="6" t="s">
        <v>414</v>
      </c>
      <c r="B145" s="6"/>
      <c r="C145" s="6"/>
      <c r="D145" s="6"/>
      <c r="E145" s="6"/>
      <c r="F145" s="6">
        <v>1</v>
      </c>
      <c r="G145" s="6"/>
      <c r="H145" s="9" t="str" cm="1">
        <f t="array" ref="H145">_xlfn.IFS(AND(SUM(B145:D145)=0,SUM(E145:G145)&gt;0),"Новый",AND(SUM(B145:D145)&gt;0,SUM(E145:G145)&gt;0),"Действующий",AND(SUM(B145:D145)&gt;0,SUM(E145:G145)=0),"Спящий",AND(SUM(B145:G145)=0),"Ушедший")</f>
        <v>Новый</v>
      </c>
      <c r="I145" s="3">
        <f>IF(AND(SUM(B145:D145)=0,SUM(E145:G145)&gt;0),1,0)</f>
        <v>1</v>
      </c>
      <c r="J145" s="3">
        <f t="shared" si="7"/>
        <v>0</v>
      </c>
      <c r="K145" s="3">
        <f t="shared" si="8"/>
        <v>0</v>
      </c>
      <c r="L145" s="3">
        <f t="shared" si="9"/>
        <v>0</v>
      </c>
      <c r="M145" s="3" t="str" cm="1">
        <f t="array" ref="M145">_xlfn.IFS(I145=1,$I$11,J145=1,$J$11,K145=1,$K$11,L145=1,$L$11)</f>
        <v>Новый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3">
      <c r="A146" s="6" t="s">
        <v>415</v>
      </c>
      <c r="B146" s="6"/>
      <c r="C146" s="6"/>
      <c r="D146" s="6"/>
      <c r="E146" s="6"/>
      <c r="F146" s="6"/>
      <c r="G146" s="6">
        <v>1</v>
      </c>
      <c r="H146" s="9" t="str" cm="1">
        <f t="array" ref="H146">_xlfn.IFS(AND(SUM(B146:D146)=0,SUM(E146:G146)&gt;0),"Новый",AND(SUM(B146:D146)&gt;0,SUM(E146:G146)&gt;0),"Действующий",AND(SUM(B146:D146)&gt;0,SUM(E146:G146)=0),"Спящий",AND(SUM(B146:G146)=0),"Ушедший")</f>
        <v>Новый</v>
      </c>
      <c r="I146" s="3">
        <f>IF(AND(SUM(B146:D146)=0,SUM(E146:G146)&gt;0),1,0)</f>
        <v>1</v>
      </c>
      <c r="J146" s="3">
        <f t="shared" si="7"/>
        <v>0</v>
      </c>
      <c r="K146" s="3">
        <f t="shared" si="8"/>
        <v>0</v>
      </c>
      <c r="L146" s="3">
        <f t="shared" si="9"/>
        <v>0</v>
      </c>
      <c r="M146" s="3" t="str" cm="1">
        <f t="array" ref="M146">_xlfn.IFS(I146=1,$I$11,J146=1,$J$11,K146=1,$K$11,L146=1,$L$11)</f>
        <v>Новый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 x14ac:dyDescent="0.3">
      <c r="A147" s="6" t="s">
        <v>416</v>
      </c>
      <c r="B147" s="6"/>
      <c r="C147" s="6"/>
      <c r="D147" s="6"/>
      <c r="E147" s="6"/>
      <c r="F147" s="6"/>
      <c r="G147" s="6"/>
      <c r="H147" s="9" t="str" cm="1">
        <f t="array" ref="H147">_xlfn.IFS(AND(SUM(B147:D147)=0,SUM(E147:G147)&gt;0),"Новый",AND(SUM(B147:D147)&gt;0,SUM(E147:G147)&gt;0),"Действующий",AND(SUM(B147:D147)&gt;0,SUM(E147:G147)=0),"Спящий",AND(SUM(B147:G147)=0),"Ушедший")</f>
        <v>Ушедший</v>
      </c>
      <c r="I147" s="3">
        <f>IF(AND(SUM(B147:D147)=0,SUM(E147:G147)&gt;0),1,0)</f>
        <v>0</v>
      </c>
      <c r="J147" s="3">
        <f t="shared" si="7"/>
        <v>0</v>
      </c>
      <c r="K147" s="3">
        <f t="shared" si="8"/>
        <v>0</v>
      </c>
      <c r="L147" s="3">
        <f t="shared" si="9"/>
        <v>1</v>
      </c>
      <c r="M147" s="3" t="str" cm="1">
        <f t="array" ref="M147">_xlfn.IFS(I147=1,$I$11,J147=1,$J$11,K147=1,$K$11,L147=1,$L$11)</f>
        <v>Ушедший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3">
      <c r="A148" s="6" t="s">
        <v>417</v>
      </c>
      <c r="B148" s="6"/>
      <c r="C148" s="6"/>
      <c r="D148" s="6"/>
      <c r="E148" s="6">
        <v>1</v>
      </c>
      <c r="F148" s="6"/>
      <c r="G148" s="6"/>
      <c r="H148" s="9" t="str" cm="1">
        <f t="array" ref="H148">_xlfn.IFS(AND(SUM(B148:D148)=0,SUM(E148:G148)&gt;0),"Новый",AND(SUM(B148:D148)&gt;0,SUM(E148:G148)&gt;0),"Действующий",AND(SUM(B148:D148)&gt;0,SUM(E148:G148)=0),"Спящий",AND(SUM(B148:G148)=0),"Ушедший")</f>
        <v>Новый</v>
      </c>
      <c r="I148" s="3">
        <f>IF(AND(SUM(B148:D148)=0,SUM(E148:G148)&gt;0),1,0)</f>
        <v>1</v>
      </c>
      <c r="J148" s="3">
        <f t="shared" si="7"/>
        <v>0</v>
      </c>
      <c r="K148" s="3">
        <f t="shared" si="8"/>
        <v>0</v>
      </c>
      <c r="L148" s="3">
        <f t="shared" si="9"/>
        <v>0</v>
      </c>
      <c r="M148" s="3" t="str" cm="1">
        <f t="array" ref="M148">_xlfn.IFS(I148=1,$I$11,J148=1,$J$11,K148=1,$K$11,L148=1,$L$11)</f>
        <v>Новый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 x14ac:dyDescent="0.3">
      <c r="A149" s="6" t="s">
        <v>418</v>
      </c>
      <c r="B149" s="6">
        <v>1</v>
      </c>
      <c r="C149" s="6">
        <v>1</v>
      </c>
      <c r="D149" s="6"/>
      <c r="E149" s="6"/>
      <c r="F149" s="6">
        <v>3</v>
      </c>
      <c r="G149" s="6">
        <v>3</v>
      </c>
      <c r="H149" s="9" t="str" cm="1">
        <f t="array" ref="H149">_xlfn.IFS(AND(SUM(B149:D149)=0,SUM(E149:G149)&gt;0),"Новый",AND(SUM(B149:D149)&gt;0,SUM(E149:G149)&gt;0),"Действующий",AND(SUM(B149:D149)&gt;0,SUM(E149:G149)=0),"Спящий",AND(SUM(B149:G149)=0),"Ушедший")</f>
        <v>Действующий</v>
      </c>
      <c r="I149" s="3">
        <f>IF(AND(SUM(B149:D149)=0,SUM(E149:G149)&gt;0),1,0)</f>
        <v>0</v>
      </c>
      <c r="J149" s="3">
        <f t="shared" si="7"/>
        <v>1</v>
      </c>
      <c r="K149" s="3">
        <f t="shared" si="8"/>
        <v>0</v>
      </c>
      <c r="L149" s="3">
        <f t="shared" si="9"/>
        <v>0</v>
      </c>
      <c r="M149" s="3" t="str" cm="1">
        <f t="array" ref="M149">_xlfn.IFS(I149=1,$I$11,J149=1,$J$11,K149=1,$K$11,L149=1,$L$11)</f>
        <v>Действующий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3">
      <c r="A150" s="6" t="s">
        <v>419</v>
      </c>
      <c r="B150" s="6"/>
      <c r="C150" s="6">
        <v>1</v>
      </c>
      <c r="D150" s="6"/>
      <c r="E150" s="6"/>
      <c r="F150" s="6"/>
      <c r="G150" s="6"/>
      <c r="H150" s="9" t="str" cm="1">
        <f t="array" ref="H150">_xlfn.IFS(AND(SUM(B150:D150)=0,SUM(E150:G150)&gt;0),"Новый",AND(SUM(B150:D150)&gt;0,SUM(E150:G150)&gt;0),"Действующий",AND(SUM(B150:D150)&gt;0,SUM(E150:G150)=0),"Спящий",AND(SUM(B150:G150)=0),"Ушедший")</f>
        <v>Спящий</v>
      </c>
      <c r="I150" s="3">
        <f>IF(AND(SUM(B150:D150)=0,SUM(E150:G150)&gt;0),1,0)</f>
        <v>0</v>
      </c>
      <c r="J150" s="3">
        <f t="shared" si="7"/>
        <v>0</v>
      </c>
      <c r="K150" s="3">
        <f t="shared" si="8"/>
        <v>1</v>
      </c>
      <c r="L150" s="3">
        <f t="shared" si="9"/>
        <v>0</v>
      </c>
      <c r="M150" s="3" t="str" cm="1">
        <f t="array" ref="M150">_xlfn.IFS(I150=1,$I$11,J150=1,$J$11,K150=1,$K$11,L150=1,$L$11)</f>
        <v>Спящий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 x14ac:dyDescent="0.3">
      <c r="A151" s="6" t="s">
        <v>420</v>
      </c>
      <c r="B151" s="6"/>
      <c r="C151" s="6">
        <v>1</v>
      </c>
      <c r="D151" s="6"/>
      <c r="E151" s="6"/>
      <c r="F151" s="6"/>
      <c r="G151" s="6"/>
      <c r="H151" s="9" t="str" cm="1">
        <f t="array" ref="H151">_xlfn.IFS(AND(SUM(B151:D151)=0,SUM(E151:G151)&gt;0),"Новый",AND(SUM(B151:D151)&gt;0,SUM(E151:G151)&gt;0),"Действующий",AND(SUM(B151:D151)&gt;0,SUM(E151:G151)=0),"Спящий",AND(SUM(B151:G151)=0),"Ушедший")</f>
        <v>Спящий</v>
      </c>
      <c r="I151" s="3">
        <f>IF(AND(SUM(B151:D151)=0,SUM(E151:G151)&gt;0),1,0)</f>
        <v>0</v>
      </c>
      <c r="J151" s="3">
        <f t="shared" si="7"/>
        <v>0</v>
      </c>
      <c r="K151" s="3">
        <f t="shared" si="8"/>
        <v>1</v>
      </c>
      <c r="L151" s="3">
        <f t="shared" si="9"/>
        <v>0</v>
      </c>
      <c r="M151" s="3" t="str" cm="1">
        <f t="array" ref="M151">_xlfn.IFS(I151=1,$I$11,J151=1,$J$11,K151=1,$K$11,L151=1,$L$11)</f>
        <v>Спящий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3">
      <c r="A152" s="6" t="s">
        <v>421</v>
      </c>
      <c r="B152" s="6"/>
      <c r="C152" s="6">
        <v>1</v>
      </c>
      <c r="D152" s="6"/>
      <c r="E152" s="6">
        <v>1</v>
      </c>
      <c r="F152" s="6"/>
      <c r="G152" s="6"/>
      <c r="H152" s="9" t="str" cm="1">
        <f t="array" ref="H152">_xlfn.IFS(AND(SUM(B152:D152)=0,SUM(E152:G152)&gt;0),"Новый",AND(SUM(B152:D152)&gt;0,SUM(E152:G152)&gt;0),"Действующий",AND(SUM(B152:D152)&gt;0,SUM(E152:G152)=0),"Спящий",AND(SUM(B152:G152)=0),"Ушедший")</f>
        <v>Действующий</v>
      </c>
      <c r="I152" s="3">
        <f>IF(AND(SUM(B152:D152)=0,SUM(E152:G152)&gt;0),1,0)</f>
        <v>0</v>
      </c>
      <c r="J152" s="3">
        <f t="shared" si="7"/>
        <v>1</v>
      </c>
      <c r="K152" s="3">
        <f t="shared" si="8"/>
        <v>0</v>
      </c>
      <c r="L152" s="3">
        <f t="shared" si="9"/>
        <v>0</v>
      </c>
      <c r="M152" s="3" t="str" cm="1">
        <f t="array" ref="M152">_xlfn.IFS(I152=1,$I$11,J152=1,$J$11,K152=1,$K$11,L152=1,$L$11)</f>
        <v>Действующий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 x14ac:dyDescent="0.3">
      <c r="A153" s="6" t="s">
        <v>422</v>
      </c>
      <c r="B153" s="6">
        <v>1</v>
      </c>
      <c r="C153" s="6"/>
      <c r="D153" s="6"/>
      <c r="E153" s="6">
        <v>1</v>
      </c>
      <c r="F153" s="6"/>
      <c r="G153" s="6"/>
      <c r="H153" s="9" t="str" cm="1">
        <f t="array" ref="H153">_xlfn.IFS(AND(SUM(B153:D153)=0,SUM(E153:G153)&gt;0),"Новый",AND(SUM(B153:D153)&gt;0,SUM(E153:G153)&gt;0),"Действующий",AND(SUM(B153:D153)&gt;0,SUM(E153:G153)=0),"Спящий",AND(SUM(B153:G153)=0),"Ушедший")</f>
        <v>Действующий</v>
      </c>
      <c r="I153" s="3">
        <f>IF(AND(SUM(B153:D153)=0,SUM(E153:G153)&gt;0),1,0)</f>
        <v>0</v>
      </c>
      <c r="J153" s="3">
        <f t="shared" si="7"/>
        <v>1</v>
      </c>
      <c r="K153" s="3">
        <f t="shared" si="8"/>
        <v>0</v>
      </c>
      <c r="L153" s="3">
        <f t="shared" si="9"/>
        <v>0</v>
      </c>
      <c r="M153" s="3" t="str" cm="1">
        <f t="array" ref="M153">_xlfn.IFS(I153=1,$I$11,J153=1,$J$11,K153=1,$K$11,L153=1,$L$11)</f>
        <v>Действующий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3">
      <c r="A154" s="6" t="s">
        <v>423</v>
      </c>
      <c r="B154" s="6">
        <v>1</v>
      </c>
      <c r="C154" s="6"/>
      <c r="D154" s="6"/>
      <c r="E154" s="6"/>
      <c r="F154" s="6"/>
      <c r="G154" s="6"/>
      <c r="H154" s="9" t="str" cm="1">
        <f t="array" ref="H154">_xlfn.IFS(AND(SUM(B154:D154)=0,SUM(E154:G154)&gt;0),"Новый",AND(SUM(B154:D154)&gt;0,SUM(E154:G154)&gt;0),"Действующий",AND(SUM(B154:D154)&gt;0,SUM(E154:G154)=0),"Спящий",AND(SUM(B154:G154)=0),"Ушедший")</f>
        <v>Спящий</v>
      </c>
      <c r="I154" s="3">
        <f>IF(AND(SUM(B154:D154)=0,SUM(E154:G154)&gt;0),1,0)</f>
        <v>0</v>
      </c>
      <c r="J154" s="3">
        <f t="shared" si="7"/>
        <v>0</v>
      </c>
      <c r="K154" s="3">
        <f t="shared" si="8"/>
        <v>1</v>
      </c>
      <c r="L154" s="3">
        <f t="shared" si="9"/>
        <v>0</v>
      </c>
      <c r="M154" s="3" t="str" cm="1">
        <f t="array" ref="M154">_xlfn.IFS(I154=1,$I$11,J154=1,$J$11,K154=1,$K$11,L154=1,$L$11)</f>
        <v>Спящий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 x14ac:dyDescent="0.3">
      <c r="A155" s="6" t="s">
        <v>424</v>
      </c>
      <c r="B155" s="6"/>
      <c r="C155" s="6">
        <v>1</v>
      </c>
      <c r="D155" s="6"/>
      <c r="E155" s="6"/>
      <c r="F155" s="6"/>
      <c r="G155" s="6"/>
      <c r="H155" s="9" t="str" cm="1">
        <f t="array" ref="H155">_xlfn.IFS(AND(SUM(B155:D155)=0,SUM(E155:G155)&gt;0),"Новый",AND(SUM(B155:D155)&gt;0,SUM(E155:G155)&gt;0),"Действующий",AND(SUM(B155:D155)&gt;0,SUM(E155:G155)=0),"Спящий",AND(SUM(B155:G155)=0),"Ушедший")</f>
        <v>Спящий</v>
      </c>
      <c r="I155" s="3">
        <f>IF(AND(SUM(B155:D155)=0,SUM(E155:G155)&gt;0),1,0)</f>
        <v>0</v>
      </c>
      <c r="J155" s="3">
        <f t="shared" si="7"/>
        <v>0</v>
      </c>
      <c r="K155" s="3">
        <f t="shared" si="8"/>
        <v>1</v>
      </c>
      <c r="L155" s="3">
        <f t="shared" si="9"/>
        <v>0</v>
      </c>
      <c r="M155" s="3" t="str" cm="1">
        <f t="array" ref="M155">_xlfn.IFS(I155=1,$I$11,J155=1,$J$11,K155=1,$K$11,L155=1,$L$11)</f>
        <v>Спящий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3">
      <c r="A156" s="6" t="s">
        <v>425</v>
      </c>
      <c r="B156" s="6"/>
      <c r="C156" s="6"/>
      <c r="D156" s="6"/>
      <c r="E156" s="6"/>
      <c r="F156" s="6"/>
      <c r="G156" s="6"/>
      <c r="H156" s="9" t="str" cm="1">
        <f t="array" ref="H156">_xlfn.IFS(AND(SUM(B156:D156)=0,SUM(E156:G156)&gt;0),"Новый",AND(SUM(B156:D156)&gt;0,SUM(E156:G156)&gt;0),"Действующий",AND(SUM(B156:D156)&gt;0,SUM(E156:G156)=0),"Спящий",AND(SUM(B156:G156)=0),"Ушедший")</f>
        <v>Ушедший</v>
      </c>
      <c r="I156" s="3">
        <f>IF(AND(SUM(B156:D156)=0,SUM(E156:G156)&gt;0),1,0)</f>
        <v>0</v>
      </c>
      <c r="J156" s="3">
        <f t="shared" si="7"/>
        <v>0</v>
      </c>
      <c r="K156" s="3">
        <f t="shared" si="8"/>
        <v>0</v>
      </c>
      <c r="L156" s="3">
        <f t="shared" si="9"/>
        <v>1</v>
      </c>
      <c r="M156" s="3" t="str" cm="1">
        <f t="array" ref="M156">_xlfn.IFS(I156=1,$I$11,J156=1,$J$11,K156=1,$K$11,L156=1,$L$11)</f>
        <v>Ушедший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3">
      <c r="A157" s="6" t="s">
        <v>426</v>
      </c>
      <c r="B157" s="6"/>
      <c r="C157" s="6"/>
      <c r="D157" s="6"/>
      <c r="E157" s="6">
        <v>1</v>
      </c>
      <c r="F157" s="6"/>
      <c r="G157" s="6"/>
      <c r="H157" s="9" t="str" cm="1">
        <f t="array" ref="H157">_xlfn.IFS(AND(SUM(B157:D157)=0,SUM(E157:G157)&gt;0),"Новый",AND(SUM(B157:D157)&gt;0,SUM(E157:G157)&gt;0),"Действующий",AND(SUM(B157:D157)&gt;0,SUM(E157:G157)=0),"Спящий",AND(SUM(B157:G157)=0),"Ушедший")</f>
        <v>Новый</v>
      </c>
      <c r="I157" s="3">
        <f>IF(AND(SUM(B157:D157)=0,SUM(E157:G157)&gt;0),1,0)</f>
        <v>1</v>
      </c>
      <c r="J157" s="3">
        <f t="shared" si="7"/>
        <v>0</v>
      </c>
      <c r="K157" s="3">
        <f t="shared" si="8"/>
        <v>0</v>
      </c>
      <c r="L157" s="3">
        <f t="shared" si="9"/>
        <v>0</v>
      </c>
      <c r="M157" s="3" t="str" cm="1">
        <f t="array" ref="M157">_xlfn.IFS(I157=1,$I$11,J157=1,$J$11,K157=1,$K$11,L157=1,$L$11)</f>
        <v>Новый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3">
      <c r="A158" s="6" t="s">
        <v>427</v>
      </c>
      <c r="B158" s="6">
        <v>1</v>
      </c>
      <c r="C158" s="6"/>
      <c r="D158" s="6"/>
      <c r="E158" s="6"/>
      <c r="F158" s="6"/>
      <c r="G158" s="6"/>
      <c r="H158" s="9" t="str" cm="1">
        <f t="array" ref="H158">_xlfn.IFS(AND(SUM(B158:D158)=0,SUM(E158:G158)&gt;0),"Новый",AND(SUM(B158:D158)&gt;0,SUM(E158:G158)&gt;0),"Действующий",AND(SUM(B158:D158)&gt;0,SUM(E158:G158)=0),"Спящий",AND(SUM(B158:G158)=0),"Ушедший")</f>
        <v>Спящий</v>
      </c>
      <c r="I158" s="3">
        <f>IF(AND(SUM(B158:D158)=0,SUM(E158:G158)&gt;0),1,0)</f>
        <v>0</v>
      </c>
      <c r="J158" s="3">
        <f t="shared" si="7"/>
        <v>0</v>
      </c>
      <c r="K158" s="3">
        <f t="shared" si="8"/>
        <v>1</v>
      </c>
      <c r="L158" s="3">
        <f t="shared" si="9"/>
        <v>0</v>
      </c>
      <c r="M158" s="3" t="str" cm="1">
        <f t="array" ref="M158">_xlfn.IFS(I158=1,$I$11,J158=1,$J$11,K158=1,$K$11,L158=1,$L$11)</f>
        <v>Спящий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 x14ac:dyDescent="0.3">
      <c r="A159" s="6" t="s">
        <v>428</v>
      </c>
      <c r="B159" s="6"/>
      <c r="C159" s="6">
        <v>1</v>
      </c>
      <c r="D159" s="6"/>
      <c r="E159" s="6"/>
      <c r="F159" s="6"/>
      <c r="G159" s="6"/>
      <c r="H159" s="9" t="str" cm="1">
        <f t="array" ref="H159">_xlfn.IFS(AND(SUM(B159:D159)=0,SUM(E159:G159)&gt;0),"Новый",AND(SUM(B159:D159)&gt;0,SUM(E159:G159)&gt;0),"Действующий",AND(SUM(B159:D159)&gt;0,SUM(E159:G159)=0),"Спящий",AND(SUM(B159:G159)=0),"Ушедший")</f>
        <v>Спящий</v>
      </c>
      <c r="I159" s="3">
        <f>IF(AND(SUM(B159:D159)=0,SUM(E159:G159)&gt;0),1,0)</f>
        <v>0</v>
      </c>
      <c r="J159" s="3">
        <f t="shared" si="7"/>
        <v>0</v>
      </c>
      <c r="K159" s="3">
        <f t="shared" si="8"/>
        <v>1</v>
      </c>
      <c r="L159" s="3">
        <f t="shared" si="9"/>
        <v>0</v>
      </c>
      <c r="M159" s="3" t="str" cm="1">
        <f t="array" ref="M159">_xlfn.IFS(I159=1,$I$11,J159=1,$J$11,K159=1,$K$11,L159=1,$L$11)</f>
        <v>Спящий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3">
      <c r="A160" s="6" t="s">
        <v>429</v>
      </c>
      <c r="B160" s="6"/>
      <c r="C160" s="6"/>
      <c r="D160" s="6"/>
      <c r="E160" s="6"/>
      <c r="F160" s="6"/>
      <c r="G160" s="6">
        <v>1</v>
      </c>
      <c r="H160" s="9" t="str" cm="1">
        <f t="array" ref="H160">_xlfn.IFS(AND(SUM(B160:D160)=0,SUM(E160:G160)&gt;0),"Новый",AND(SUM(B160:D160)&gt;0,SUM(E160:G160)&gt;0),"Действующий",AND(SUM(B160:D160)&gt;0,SUM(E160:G160)=0),"Спящий",AND(SUM(B160:G160)=0),"Ушедший")</f>
        <v>Новый</v>
      </c>
      <c r="I160" s="3">
        <f>IF(AND(SUM(B160:D160)=0,SUM(E160:G160)&gt;0),1,0)</f>
        <v>1</v>
      </c>
      <c r="J160" s="3">
        <f t="shared" si="7"/>
        <v>0</v>
      </c>
      <c r="K160" s="3">
        <f t="shared" si="8"/>
        <v>0</v>
      </c>
      <c r="L160" s="3">
        <f t="shared" si="9"/>
        <v>0</v>
      </c>
      <c r="M160" s="3" t="str" cm="1">
        <f t="array" ref="M160">_xlfn.IFS(I160=1,$I$11,J160=1,$J$11,K160=1,$K$11,L160=1,$L$11)</f>
        <v>Новый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 x14ac:dyDescent="0.3">
      <c r="A161" s="6" t="s">
        <v>430</v>
      </c>
      <c r="B161" s="6"/>
      <c r="C161" s="6"/>
      <c r="D161" s="6">
        <v>1</v>
      </c>
      <c r="E161" s="6"/>
      <c r="F161" s="6"/>
      <c r="G161" s="6"/>
      <c r="H161" s="9" t="str" cm="1">
        <f t="array" ref="H161">_xlfn.IFS(AND(SUM(B161:D161)=0,SUM(E161:G161)&gt;0),"Новый",AND(SUM(B161:D161)&gt;0,SUM(E161:G161)&gt;0),"Действующий",AND(SUM(B161:D161)&gt;0,SUM(E161:G161)=0),"Спящий",AND(SUM(B161:G161)=0),"Ушедший")</f>
        <v>Спящий</v>
      </c>
      <c r="I161" s="3">
        <f>IF(AND(SUM(B161:D161)=0,SUM(E161:G161)&gt;0),1,0)</f>
        <v>0</v>
      </c>
      <c r="J161" s="3">
        <f t="shared" si="7"/>
        <v>0</v>
      </c>
      <c r="K161" s="3">
        <f t="shared" si="8"/>
        <v>1</v>
      </c>
      <c r="L161" s="3">
        <f t="shared" si="9"/>
        <v>0</v>
      </c>
      <c r="M161" s="3" t="str" cm="1">
        <f t="array" ref="M161">_xlfn.IFS(I161=1,$I$11,J161=1,$J$11,K161=1,$K$11,L161=1,$L$11)</f>
        <v>Спящий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3">
      <c r="A162" s="6" t="s">
        <v>431</v>
      </c>
      <c r="B162" s="6">
        <v>1</v>
      </c>
      <c r="C162" s="6"/>
      <c r="D162" s="6"/>
      <c r="E162" s="6"/>
      <c r="F162" s="6"/>
      <c r="G162" s="6"/>
      <c r="H162" s="9" t="str" cm="1">
        <f t="array" ref="H162">_xlfn.IFS(AND(SUM(B162:D162)=0,SUM(E162:G162)&gt;0),"Новый",AND(SUM(B162:D162)&gt;0,SUM(E162:G162)&gt;0),"Действующий",AND(SUM(B162:D162)&gt;0,SUM(E162:G162)=0),"Спящий",AND(SUM(B162:G162)=0),"Ушедший")</f>
        <v>Спящий</v>
      </c>
      <c r="I162" s="3">
        <f>IF(AND(SUM(B162:D162)=0,SUM(E162:G162)&gt;0),1,0)</f>
        <v>0</v>
      </c>
      <c r="J162" s="3">
        <f t="shared" si="7"/>
        <v>0</v>
      </c>
      <c r="K162" s="3">
        <f t="shared" si="8"/>
        <v>1</v>
      </c>
      <c r="L162" s="3">
        <f t="shared" si="9"/>
        <v>0</v>
      </c>
      <c r="M162" s="3" t="str" cm="1">
        <f t="array" ref="M162">_xlfn.IFS(I162=1,$I$11,J162=1,$J$11,K162=1,$K$11,L162=1,$L$11)</f>
        <v>Спящий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 x14ac:dyDescent="0.3">
      <c r="A163" s="6" t="s">
        <v>432</v>
      </c>
      <c r="B163" s="6">
        <v>1</v>
      </c>
      <c r="C163" s="6"/>
      <c r="D163" s="6"/>
      <c r="E163" s="6"/>
      <c r="F163" s="6"/>
      <c r="G163" s="6"/>
      <c r="H163" s="9" t="str" cm="1">
        <f t="array" ref="H163">_xlfn.IFS(AND(SUM(B163:D163)=0,SUM(E163:G163)&gt;0),"Новый",AND(SUM(B163:D163)&gt;0,SUM(E163:G163)&gt;0),"Действующий",AND(SUM(B163:D163)&gt;0,SUM(E163:G163)=0),"Спящий",AND(SUM(B163:G163)=0),"Ушедший")</f>
        <v>Спящий</v>
      </c>
      <c r="I163" s="3">
        <f>IF(AND(SUM(B163:D163)=0,SUM(E163:G163)&gt;0),1,0)</f>
        <v>0</v>
      </c>
      <c r="J163" s="3">
        <f t="shared" si="7"/>
        <v>0</v>
      </c>
      <c r="K163" s="3">
        <f t="shared" si="8"/>
        <v>1</v>
      </c>
      <c r="L163" s="3">
        <f t="shared" si="9"/>
        <v>0</v>
      </c>
      <c r="M163" s="3" t="str" cm="1">
        <f t="array" ref="M163">_xlfn.IFS(I163=1,$I$11,J163=1,$J$11,K163=1,$K$11,L163=1,$L$11)</f>
        <v>Спящий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3">
      <c r="A164" s="6" t="s">
        <v>433</v>
      </c>
      <c r="B164" s="6">
        <v>1</v>
      </c>
      <c r="C164" s="6"/>
      <c r="D164" s="6"/>
      <c r="E164" s="6"/>
      <c r="F164" s="6"/>
      <c r="G164" s="6"/>
      <c r="H164" s="9" t="str" cm="1">
        <f t="array" ref="H164">_xlfn.IFS(AND(SUM(B164:D164)=0,SUM(E164:G164)&gt;0),"Новый",AND(SUM(B164:D164)&gt;0,SUM(E164:G164)&gt;0),"Действующий",AND(SUM(B164:D164)&gt;0,SUM(E164:G164)=0),"Спящий",AND(SUM(B164:G164)=0),"Ушедший")</f>
        <v>Спящий</v>
      </c>
      <c r="I164" s="3">
        <f>IF(AND(SUM(B164:D164)=0,SUM(E164:G164)&gt;0),1,0)</f>
        <v>0</v>
      </c>
      <c r="J164" s="3">
        <f t="shared" si="7"/>
        <v>0</v>
      </c>
      <c r="K164" s="3">
        <f t="shared" si="8"/>
        <v>1</v>
      </c>
      <c r="L164" s="3">
        <f t="shared" si="9"/>
        <v>0</v>
      </c>
      <c r="M164" s="3" t="str" cm="1">
        <f t="array" ref="M164">_xlfn.IFS(I164=1,$I$11,J164=1,$J$11,K164=1,$K$11,L164=1,$L$11)</f>
        <v>Спящий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 x14ac:dyDescent="0.3">
      <c r="A165" s="6" t="s">
        <v>434</v>
      </c>
      <c r="B165" s="6">
        <v>1</v>
      </c>
      <c r="C165" s="6"/>
      <c r="D165" s="6"/>
      <c r="E165" s="6"/>
      <c r="F165" s="6"/>
      <c r="G165" s="6"/>
      <c r="H165" s="9" t="str" cm="1">
        <f t="array" ref="H165">_xlfn.IFS(AND(SUM(B165:D165)=0,SUM(E165:G165)&gt;0),"Новый",AND(SUM(B165:D165)&gt;0,SUM(E165:G165)&gt;0),"Действующий",AND(SUM(B165:D165)&gt;0,SUM(E165:G165)=0),"Спящий",AND(SUM(B165:G165)=0),"Ушедший")</f>
        <v>Спящий</v>
      </c>
      <c r="I165" s="3">
        <f>IF(AND(SUM(B165:D165)=0,SUM(E165:G165)&gt;0),1,0)</f>
        <v>0</v>
      </c>
      <c r="J165" s="3">
        <f t="shared" si="7"/>
        <v>0</v>
      </c>
      <c r="K165" s="3">
        <f t="shared" si="8"/>
        <v>1</v>
      </c>
      <c r="L165" s="3">
        <f t="shared" si="9"/>
        <v>0</v>
      </c>
      <c r="M165" s="3" t="str" cm="1">
        <f t="array" ref="M165">_xlfn.IFS(I165=1,$I$11,J165=1,$J$11,K165=1,$K$11,L165=1,$L$11)</f>
        <v>Спящий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3">
      <c r="A166" s="6" t="s">
        <v>435</v>
      </c>
      <c r="B166" s="6"/>
      <c r="C166" s="6">
        <v>1</v>
      </c>
      <c r="D166" s="6">
        <v>1</v>
      </c>
      <c r="E166" s="6">
        <v>2</v>
      </c>
      <c r="F166" s="6">
        <v>3</v>
      </c>
      <c r="G166" s="6"/>
      <c r="H166" s="9" t="str" cm="1">
        <f t="array" ref="H166">_xlfn.IFS(AND(SUM(B166:D166)=0,SUM(E166:G166)&gt;0),"Новый",AND(SUM(B166:D166)&gt;0,SUM(E166:G166)&gt;0),"Действующий",AND(SUM(B166:D166)&gt;0,SUM(E166:G166)=0),"Спящий",AND(SUM(B166:G166)=0),"Ушедший")</f>
        <v>Действующий</v>
      </c>
      <c r="I166" s="3">
        <f>IF(AND(SUM(B166:D166)=0,SUM(E166:G166)&gt;0),1,0)</f>
        <v>0</v>
      </c>
      <c r="J166" s="3">
        <f t="shared" si="7"/>
        <v>1</v>
      </c>
      <c r="K166" s="3">
        <f t="shared" si="8"/>
        <v>0</v>
      </c>
      <c r="L166" s="3">
        <f t="shared" si="9"/>
        <v>0</v>
      </c>
      <c r="M166" s="3" t="str" cm="1">
        <f t="array" ref="M166">_xlfn.IFS(I166=1,$I$11,J166=1,$J$11,K166=1,$K$11,L166=1,$L$11)</f>
        <v>Действующий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 x14ac:dyDescent="0.3">
      <c r="A167" s="6" t="s">
        <v>436</v>
      </c>
      <c r="B167" s="6"/>
      <c r="C167" s="6"/>
      <c r="D167" s="6"/>
      <c r="E167" s="6">
        <v>1</v>
      </c>
      <c r="F167" s="6"/>
      <c r="G167" s="6"/>
      <c r="H167" s="9" t="str" cm="1">
        <f t="array" ref="H167">_xlfn.IFS(AND(SUM(B167:D167)=0,SUM(E167:G167)&gt;0),"Новый",AND(SUM(B167:D167)&gt;0,SUM(E167:G167)&gt;0),"Действующий",AND(SUM(B167:D167)&gt;0,SUM(E167:G167)=0),"Спящий",AND(SUM(B167:G167)=0),"Ушедший")</f>
        <v>Новый</v>
      </c>
      <c r="I167" s="3">
        <f>IF(AND(SUM(B167:D167)=0,SUM(E167:G167)&gt;0),1,0)</f>
        <v>1</v>
      </c>
      <c r="J167" s="3">
        <f t="shared" si="7"/>
        <v>0</v>
      </c>
      <c r="K167" s="3">
        <f t="shared" si="8"/>
        <v>0</v>
      </c>
      <c r="L167" s="3">
        <f t="shared" si="9"/>
        <v>0</v>
      </c>
      <c r="M167" s="3" t="str" cm="1">
        <f t="array" ref="M167">_xlfn.IFS(I167=1,$I$11,J167=1,$J$11,K167=1,$K$11,L167=1,$L$11)</f>
        <v>Новый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3">
      <c r="A168" s="6" t="s">
        <v>437</v>
      </c>
      <c r="B168" s="6"/>
      <c r="C168" s="6"/>
      <c r="D168" s="6"/>
      <c r="E168" s="6"/>
      <c r="F168" s="6"/>
      <c r="G168" s="6">
        <v>1</v>
      </c>
      <c r="H168" s="9" t="str" cm="1">
        <f t="array" ref="H168">_xlfn.IFS(AND(SUM(B168:D168)=0,SUM(E168:G168)&gt;0),"Новый",AND(SUM(B168:D168)&gt;0,SUM(E168:G168)&gt;0),"Действующий",AND(SUM(B168:D168)&gt;0,SUM(E168:G168)=0),"Спящий",AND(SUM(B168:G168)=0),"Ушедший")</f>
        <v>Новый</v>
      </c>
      <c r="I168" s="3">
        <f>IF(AND(SUM(B168:D168)=0,SUM(E168:G168)&gt;0),1,0)</f>
        <v>1</v>
      </c>
      <c r="J168" s="3">
        <f t="shared" si="7"/>
        <v>0</v>
      </c>
      <c r="K168" s="3">
        <f t="shared" si="8"/>
        <v>0</v>
      </c>
      <c r="L168" s="3">
        <f t="shared" si="9"/>
        <v>0</v>
      </c>
      <c r="M168" s="3" t="str" cm="1">
        <f t="array" ref="M168">_xlfn.IFS(I168=1,$I$11,J168=1,$J$11,K168=1,$K$11,L168=1,$L$11)</f>
        <v>Новый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 x14ac:dyDescent="0.3">
      <c r="A169" s="6" t="s">
        <v>438</v>
      </c>
      <c r="B169" s="6"/>
      <c r="C169" s="6"/>
      <c r="D169" s="6"/>
      <c r="E169" s="6"/>
      <c r="F169" s="6"/>
      <c r="G169" s="6">
        <v>1</v>
      </c>
      <c r="H169" s="9" t="str" cm="1">
        <f t="array" ref="H169">_xlfn.IFS(AND(SUM(B169:D169)=0,SUM(E169:G169)&gt;0),"Новый",AND(SUM(B169:D169)&gt;0,SUM(E169:G169)&gt;0),"Действующий",AND(SUM(B169:D169)&gt;0,SUM(E169:G169)=0),"Спящий",AND(SUM(B169:G169)=0),"Ушедший")</f>
        <v>Новый</v>
      </c>
      <c r="I169" s="3">
        <f>IF(AND(SUM(B169:D169)=0,SUM(E169:G169)&gt;0),1,0)</f>
        <v>1</v>
      </c>
      <c r="J169" s="3">
        <f t="shared" si="7"/>
        <v>0</v>
      </c>
      <c r="K169" s="3">
        <f t="shared" si="8"/>
        <v>0</v>
      </c>
      <c r="L169" s="3">
        <f t="shared" si="9"/>
        <v>0</v>
      </c>
      <c r="M169" s="3" t="str" cm="1">
        <f t="array" ref="M169">_xlfn.IFS(I169=1,$I$11,J169=1,$J$11,K169=1,$K$11,L169=1,$L$11)</f>
        <v>Новый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3">
      <c r="A170" s="6" t="s">
        <v>439</v>
      </c>
      <c r="B170" s="6"/>
      <c r="C170" s="6"/>
      <c r="D170" s="6"/>
      <c r="E170" s="6">
        <v>1</v>
      </c>
      <c r="F170" s="6"/>
      <c r="G170" s="6"/>
      <c r="H170" s="9" t="str" cm="1">
        <f t="array" ref="H170">_xlfn.IFS(AND(SUM(B170:D170)=0,SUM(E170:G170)&gt;0),"Новый",AND(SUM(B170:D170)&gt;0,SUM(E170:G170)&gt;0),"Действующий",AND(SUM(B170:D170)&gt;0,SUM(E170:G170)=0),"Спящий",AND(SUM(B170:G170)=0),"Ушедший")</f>
        <v>Новый</v>
      </c>
      <c r="I170" s="3">
        <f>IF(AND(SUM(B170:D170)=0,SUM(E170:G170)&gt;0),1,0)</f>
        <v>1</v>
      </c>
      <c r="J170" s="3">
        <f t="shared" si="7"/>
        <v>0</v>
      </c>
      <c r="K170" s="3">
        <f t="shared" si="8"/>
        <v>0</v>
      </c>
      <c r="L170" s="3">
        <f t="shared" si="9"/>
        <v>0</v>
      </c>
      <c r="M170" s="3" t="str" cm="1">
        <f t="array" ref="M170">_xlfn.IFS(I170=1,$I$11,J170=1,$J$11,K170=1,$K$11,L170=1,$L$11)</f>
        <v>Новый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 x14ac:dyDescent="0.3">
      <c r="A171" s="6" t="s">
        <v>440</v>
      </c>
      <c r="B171" s="6"/>
      <c r="C171" s="6"/>
      <c r="D171" s="6">
        <v>2</v>
      </c>
      <c r="E171" s="6">
        <v>3</v>
      </c>
      <c r="F171" s="6"/>
      <c r="G171" s="6"/>
      <c r="H171" s="9" t="str" cm="1">
        <f t="array" ref="H171">_xlfn.IFS(AND(SUM(B171:D171)=0,SUM(E171:G171)&gt;0),"Новый",AND(SUM(B171:D171)&gt;0,SUM(E171:G171)&gt;0),"Действующий",AND(SUM(B171:D171)&gt;0,SUM(E171:G171)=0),"Спящий",AND(SUM(B171:G171)=0),"Ушедший")</f>
        <v>Действующий</v>
      </c>
      <c r="I171" s="3">
        <f>IF(AND(SUM(B171:D171)=0,SUM(E171:G171)&gt;0),1,0)</f>
        <v>0</v>
      </c>
      <c r="J171" s="3">
        <f t="shared" si="7"/>
        <v>1</v>
      </c>
      <c r="K171" s="3">
        <f t="shared" si="8"/>
        <v>0</v>
      </c>
      <c r="L171" s="3">
        <f t="shared" si="9"/>
        <v>0</v>
      </c>
      <c r="M171" s="3" t="str" cm="1">
        <f t="array" ref="M171">_xlfn.IFS(I171=1,$I$11,J171=1,$J$11,K171=1,$K$11,L171=1,$L$11)</f>
        <v>Действующий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3">
      <c r="A172" s="6" t="s">
        <v>441</v>
      </c>
      <c r="B172" s="6"/>
      <c r="C172" s="6"/>
      <c r="D172" s="6"/>
      <c r="E172" s="6"/>
      <c r="F172" s="6">
        <v>1</v>
      </c>
      <c r="G172" s="6"/>
      <c r="H172" s="9" t="str" cm="1">
        <f t="array" ref="H172">_xlfn.IFS(AND(SUM(B172:D172)=0,SUM(E172:G172)&gt;0),"Новый",AND(SUM(B172:D172)&gt;0,SUM(E172:G172)&gt;0),"Действующий",AND(SUM(B172:D172)&gt;0,SUM(E172:G172)=0),"Спящий",AND(SUM(B172:G172)=0),"Ушедший")</f>
        <v>Новый</v>
      </c>
      <c r="I172" s="3">
        <f>IF(AND(SUM(B172:D172)=0,SUM(E172:G172)&gt;0),1,0)</f>
        <v>1</v>
      </c>
      <c r="J172" s="3">
        <f t="shared" si="7"/>
        <v>0</v>
      </c>
      <c r="K172" s="3">
        <f t="shared" si="8"/>
        <v>0</v>
      </c>
      <c r="L172" s="3">
        <f t="shared" si="9"/>
        <v>0</v>
      </c>
      <c r="M172" s="3" t="str" cm="1">
        <f t="array" ref="M172">_xlfn.IFS(I172=1,$I$11,J172=1,$J$11,K172=1,$K$11,L172=1,$L$11)</f>
        <v>Новый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 x14ac:dyDescent="0.3">
      <c r="A173" s="6" t="s">
        <v>442</v>
      </c>
      <c r="B173" s="6"/>
      <c r="C173" s="6"/>
      <c r="D173" s="6"/>
      <c r="E173" s="6">
        <v>1</v>
      </c>
      <c r="F173" s="6"/>
      <c r="G173" s="6"/>
      <c r="H173" s="9" t="str" cm="1">
        <f t="array" ref="H173">_xlfn.IFS(AND(SUM(B173:D173)=0,SUM(E173:G173)&gt;0),"Новый",AND(SUM(B173:D173)&gt;0,SUM(E173:G173)&gt;0),"Действующий",AND(SUM(B173:D173)&gt;0,SUM(E173:G173)=0),"Спящий",AND(SUM(B173:G173)=0),"Ушедший")</f>
        <v>Новый</v>
      </c>
      <c r="I173" s="3">
        <f>IF(AND(SUM(B173:D173)=0,SUM(E173:G173)&gt;0),1,0)</f>
        <v>1</v>
      </c>
      <c r="J173" s="3">
        <f t="shared" si="7"/>
        <v>0</v>
      </c>
      <c r="K173" s="3">
        <f t="shared" si="8"/>
        <v>0</v>
      </c>
      <c r="L173" s="3">
        <f t="shared" si="9"/>
        <v>0</v>
      </c>
      <c r="M173" s="3" t="str" cm="1">
        <f t="array" ref="M173">_xlfn.IFS(I173=1,$I$11,J173=1,$J$11,K173=1,$K$11,L173=1,$L$11)</f>
        <v>Новый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3">
      <c r="A174" s="6" t="s">
        <v>443</v>
      </c>
      <c r="B174" s="6"/>
      <c r="C174" s="6"/>
      <c r="D174" s="6"/>
      <c r="E174" s="6"/>
      <c r="F174" s="6"/>
      <c r="G174" s="6">
        <v>1</v>
      </c>
      <c r="H174" s="9" t="str" cm="1">
        <f t="array" ref="H174">_xlfn.IFS(AND(SUM(B174:D174)=0,SUM(E174:G174)&gt;0),"Новый",AND(SUM(B174:D174)&gt;0,SUM(E174:G174)&gt;0),"Действующий",AND(SUM(B174:D174)&gt;0,SUM(E174:G174)=0),"Спящий",AND(SUM(B174:G174)=0),"Ушедший")</f>
        <v>Новый</v>
      </c>
      <c r="I174" s="3">
        <f>IF(AND(SUM(B174:D174)=0,SUM(E174:G174)&gt;0),1,0)</f>
        <v>1</v>
      </c>
      <c r="J174" s="3">
        <f t="shared" si="7"/>
        <v>0</v>
      </c>
      <c r="K174" s="3">
        <f t="shared" si="8"/>
        <v>0</v>
      </c>
      <c r="L174" s="3">
        <f t="shared" si="9"/>
        <v>0</v>
      </c>
      <c r="M174" s="3" t="str" cm="1">
        <f t="array" ref="M174">_xlfn.IFS(I174=1,$I$11,J174=1,$J$11,K174=1,$K$11,L174=1,$L$11)</f>
        <v>Новый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 x14ac:dyDescent="0.3">
      <c r="A175" s="6" t="s">
        <v>444</v>
      </c>
      <c r="B175" s="6"/>
      <c r="C175" s="6"/>
      <c r="D175" s="6"/>
      <c r="E175" s="6"/>
      <c r="F175" s="6"/>
      <c r="G175" s="6">
        <v>1</v>
      </c>
      <c r="H175" s="9" t="str" cm="1">
        <f t="array" ref="H175">_xlfn.IFS(AND(SUM(B175:D175)=0,SUM(E175:G175)&gt;0),"Новый",AND(SUM(B175:D175)&gt;0,SUM(E175:G175)&gt;0),"Действующий",AND(SUM(B175:D175)&gt;0,SUM(E175:G175)=0),"Спящий",AND(SUM(B175:G175)=0),"Ушедший")</f>
        <v>Новый</v>
      </c>
      <c r="I175" s="3">
        <f>IF(AND(SUM(B175:D175)=0,SUM(E175:G175)&gt;0),1,0)</f>
        <v>1</v>
      </c>
      <c r="J175" s="3">
        <f t="shared" si="7"/>
        <v>0</v>
      </c>
      <c r="K175" s="3">
        <f t="shared" si="8"/>
        <v>0</v>
      </c>
      <c r="L175" s="3">
        <f t="shared" si="9"/>
        <v>0</v>
      </c>
      <c r="M175" s="3" t="str" cm="1">
        <f t="array" ref="M175">_xlfn.IFS(I175=1,$I$11,J175=1,$J$11,K175=1,$K$11,L175=1,$L$11)</f>
        <v>Новый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3">
      <c r="A176" s="6" t="s">
        <v>445</v>
      </c>
      <c r="B176" s="6"/>
      <c r="C176" s="6"/>
      <c r="D176" s="6"/>
      <c r="E176" s="6">
        <v>1</v>
      </c>
      <c r="F176" s="6"/>
      <c r="G176" s="6"/>
      <c r="H176" s="9" t="str" cm="1">
        <f t="array" ref="H176">_xlfn.IFS(AND(SUM(B176:D176)=0,SUM(E176:G176)&gt;0),"Новый",AND(SUM(B176:D176)&gt;0,SUM(E176:G176)&gt;0),"Действующий",AND(SUM(B176:D176)&gt;0,SUM(E176:G176)=0),"Спящий",AND(SUM(B176:G176)=0),"Ушедший")</f>
        <v>Новый</v>
      </c>
      <c r="I176" s="3">
        <f>IF(AND(SUM(B176:D176)=0,SUM(E176:G176)&gt;0),1,0)</f>
        <v>1</v>
      </c>
      <c r="J176" s="3">
        <f t="shared" si="7"/>
        <v>0</v>
      </c>
      <c r="K176" s="3">
        <f t="shared" si="8"/>
        <v>0</v>
      </c>
      <c r="L176" s="3">
        <f t="shared" si="9"/>
        <v>0</v>
      </c>
      <c r="M176" s="3" t="str" cm="1">
        <f t="array" ref="M176">_xlfn.IFS(I176=1,$I$11,J176=1,$J$11,K176=1,$K$11,L176=1,$L$11)</f>
        <v>Новый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 x14ac:dyDescent="0.3">
      <c r="A177" s="6" t="s">
        <v>446</v>
      </c>
      <c r="B177" s="6">
        <v>1</v>
      </c>
      <c r="C177" s="6"/>
      <c r="D177" s="6"/>
      <c r="E177" s="6"/>
      <c r="F177" s="6"/>
      <c r="G177" s="6"/>
      <c r="H177" s="9" t="str" cm="1">
        <f t="array" ref="H177">_xlfn.IFS(AND(SUM(B177:D177)=0,SUM(E177:G177)&gt;0),"Новый",AND(SUM(B177:D177)&gt;0,SUM(E177:G177)&gt;0),"Действующий",AND(SUM(B177:D177)&gt;0,SUM(E177:G177)=0),"Спящий",AND(SUM(B177:G177)=0),"Ушедший")</f>
        <v>Спящий</v>
      </c>
      <c r="I177" s="3">
        <f>IF(AND(SUM(B177:D177)=0,SUM(E177:G177)&gt;0),1,0)</f>
        <v>0</v>
      </c>
      <c r="J177" s="3">
        <f t="shared" si="7"/>
        <v>0</v>
      </c>
      <c r="K177" s="3">
        <f t="shared" si="8"/>
        <v>1</v>
      </c>
      <c r="L177" s="3">
        <f t="shared" si="9"/>
        <v>0</v>
      </c>
      <c r="M177" s="3" t="str" cm="1">
        <f t="array" ref="M177">_xlfn.IFS(I177=1,$I$11,J177=1,$J$11,K177=1,$K$11,L177=1,$L$11)</f>
        <v>Спящий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3">
      <c r="A178" s="6" t="s">
        <v>447</v>
      </c>
      <c r="B178" s="6">
        <v>1</v>
      </c>
      <c r="C178" s="6"/>
      <c r="D178" s="6"/>
      <c r="E178" s="6"/>
      <c r="F178" s="6"/>
      <c r="G178" s="6">
        <v>2</v>
      </c>
      <c r="H178" s="9" t="str" cm="1">
        <f t="array" ref="H178">_xlfn.IFS(AND(SUM(B178:D178)=0,SUM(E178:G178)&gt;0),"Новый",AND(SUM(B178:D178)&gt;0,SUM(E178:G178)&gt;0),"Действующий",AND(SUM(B178:D178)&gt;0,SUM(E178:G178)=0),"Спящий",AND(SUM(B178:G178)=0),"Ушедший")</f>
        <v>Действующий</v>
      </c>
      <c r="I178" s="3">
        <f>IF(AND(SUM(B178:D178)=0,SUM(E178:G178)&gt;0),1,0)</f>
        <v>0</v>
      </c>
      <c r="J178" s="3">
        <f t="shared" si="7"/>
        <v>1</v>
      </c>
      <c r="K178" s="3">
        <f t="shared" si="8"/>
        <v>0</v>
      </c>
      <c r="L178" s="3">
        <f t="shared" si="9"/>
        <v>0</v>
      </c>
      <c r="M178" s="3" t="str" cm="1">
        <f t="array" ref="M178">_xlfn.IFS(I178=1,$I$11,J178=1,$J$11,K178=1,$K$11,L178=1,$L$11)</f>
        <v>Действующий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 x14ac:dyDescent="0.3">
      <c r="A179" s="6" t="s">
        <v>448</v>
      </c>
      <c r="B179" s="6"/>
      <c r="C179" s="6"/>
      <c r="D179" s="6">
        <v>1</v>
      </c>
      <c r="E179" s="6">
        <v>1</v>
      </c>
      <c r="F179" s="6">
        <v>1</v>
      </c>
      <c r="G179" s="6"/>
      <c r="H179" s="9" t="str" cm="1">
        <f t="array" ref="H179">_xlfn.IFS(AND(SUM(B179:D179)=0,SUM(E179:G179)&gt;0),"Новый",AND(SUM(B179:D179)&gt;0,SUM(E179:G179)&gt;0),"Действующий",AND(SUM(B179:D179)&gt;0,SUM(E179:G179)=0),"Спящий",AND(SUM(B179:G179)=0),"Ушедший")</f>
        <v>Действующий</v>
      </c>
      <c r="I179" s="3">
        <f>IF(AND(SUM(B179:D179)=0,SUM(E179:G179)&gt;0),1,0)</f>
        <v>0</v>
      </c>
      <c r="J179" s="3">
        <f t="shared" si="7"/>
        <v>1</v>
      </c>
      <c r="K179" s="3">
        <f t="shared" si="8"/>
        <v>0</v>
      </c>
      <c r="L179" s="3">
        <f t="shared" si="9"/>
        <v>0</v>
      </c>
      <c r="M179" s="3" t="str" cm="1">
        <f t="array" ref="M179">_xlfn.IFS(I179=1,$I$11,J179=1,$J$11,K179=1,$K$11,L179=1,$L$11)</f>
        <v>Действующий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3">
      <c r="A180" s="6" t="s">
        <v>449</v>
      </c>
      <c r="B180" s="6"/>
      <c r="C180" s="6">
        <v>1</v>
      </c>
      <c r="D180" s="6"/>
      <c r="E180" s="6"/>
      <c r="F180" s="6"/>
      <c r="G180" s="6"/>
      <c r="H180" s="9" t="str" cm="1">
        <f t="array" ref="H180">_xlfn.IFS(AND(SUM(B180:D180)=0,SUM(E180:G180)&gt;0),"Новый",AND(SUM(B180:D180)&gt;0,SUM(E180:G180)&gt;0),"Действующий",AND(SUM(B180:D180)&gt;0,SUM(E180:G180)=0),"Спящий",AND(SUM(B180:G180)=0),"Ушедший")</f>
        <v>Спящий</v>
      </c>
      <c r="I180" s="3">
        <f>IF(AND(SUM(B180:D180)=0,SUM(E180:G180)&gt;0),1,0)</f>
        <v>0</v>
      </c>
      <c r="J180" s="3">
        <f t="shared" si="7"/>
        <v>0</v>
      </c>
      <c r="K180" s="3">
        <f t="shared" si="8"/>
        <v>1</v>
      </c>
      <c r="L180" s="3">
        <f t="shared" si="9"/>
        <v>0</v>
      </c>
      <c r="M180" s="3" t="str" cm="1">
        <f t="array" ref="M180">_xlfn.IFS(I180=1,$I$11,J180=1,$J$11,K180=1,$K$11,L180=1,$L$11)</f>
        <v>Спящий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 x14ac:dyDescent="0.3">
      <c r="A181" s="6" t="s">
        <v>450</v>
      </c>
      <c r="B181" s="6">
        <v>1</v>
      </c>
      <c r="C181" s="6"/>
      <c r="D181" s="6"/>
      <c r="E181" s="6"/>
      <c r="F181" s="6"/>
      <c r="G181" s="6"/>
      <c r="H181" s="9" t="str" cm="1">
        <f t="array" ref="H181">_xlfn.IFS(AND(SUM(B181:D181)=0,SUM(E181:G181)&gt;0),"Новый",AND(SUM(B181:D181)&gt;0,SUM(E181:G181)&gt;0),"Действующий",AND(SUM(B181:D181)&gt;0,SUM(E181:G181)=0),"Спящий",AND(SUM(B181:G181)=0),"Ушедший")</f>
        <v>Спящий</v>
      </c>
      <c r="I181" s="3">
        <f>IF(AND(SUM(B181:D181)=0,SUM(E181:G181)&gt;0),1,0)</f>
        <v>0</v>
      </c>
      <c r="J181" s="3">
        <f t="shared" si="7"/>
        <v>0</v>
      </c>
      <c r="K181" s="3">
        <f t="shared" si="8"/>
        <v>1</v>
      </c>
      <c r="L181" s="3">
        <f t="shared" si="9"/>
        <v>0</v>
      </c>
      <c r="M181" s="3" t="str" cm="1">
        <f t="array" ref="M181">_xlfn.IFS(I181=1,$I$11,J181=1,$J$11,K181=1,$K$11,L181=1,$L$11)</f>
        <v>Спящий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3">
      <c r="A182" s="6" t="s">
        <v>451</v>
      </c>
      <c r="B182" s="6"/>
      <c r="C182" s="6"/>
      <c r="D182" s="6"/>
      <c r="E182" s="6"/>
      <c r="F182" s="6"/>
      <c r="G182" s="6">
        <v>1</v>
      </c>
      <c r="H182" s="9" t="str" cm="1">
        <f t="array" ref="H182">_xlfn.IFS(AND(SUM(B182:D182)=0,SUM(E182:G182)&gt;0),"Новый",AND(SUM(B182:D182)&gt;0,SUM(E182:G182)&gt;0),"Действующий",AND(SUM(B182:D182)&gt;0,SUM(E182:G182)=0),"Спящий",AND(SUM(B182:G182)=0),"Ушедший")</f>
        <v>Новый</v>
      </c>
      <c r="I182" s="3">
        <f>IF(AND(SUM(B182:D182)=0,SUM(E182:G182)&gt;0),1,0)</f>
        <v>1</v>
      </c>
      <c r="J182" s="3">
        <f t="shared" si="7"/>
        <v>0</v>
      </c>
      <c r="K182" s="3">
        <f t="shared" si="8"/>
        <v>0</v>
      </c>
      <c r="L182" s="3">
        <f t="shared" si="9"/>
        <v>0</v>
      </c>
      <c r="M182" s="3" t="str" cm="1">
        <f t="array" ref="M182">_xlfn.IFS(I182=1,$I$11,J182=1,$J$11,K182=1,$K$11,L182=1,$L$11)</f>
        <v>Новый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 x14ac:dyDescent="0.3">
      <c r="A183" s="6" t="s">
        <v>452</v>
      </c>
      <c r="B183" s="6"/>
      <c r="C183" s="6"/>
      <c r="D183" s="6"/>
      <c r="E183" s="6"/>
      <c r="F183" s="6"/>
      <c r="G183" s="6">
        <v>1</v>
      </c>
      <c r="H183" s="9" t="str" cm="1">
        <f t="array" ref="H183">_xlfn.IFS(AND(SUM(B183:D183)=0,SUM(E183:G183)&gt;0),"Новый",AND(SUM(B183:D183)&gt;0,SUM(E183:G183)&gt;0),"Действующий",AND(SUM(B183:D183)&gt;0,SUM(E183:G183)=0),"Спящий",AND(SUM(B183:G183)=0),"Ушедший")</f>
        <v>Новый</v>
      </c>
      <c r="I183" s="3">
        <f>IF(AND(SUM(B183:D183)=0,SUM(E183:G183)&gt;0),1,0)</f>
        <v>1</v>
      </c>
      <c r="J183" s="3">
        <f t="shared" si="7"/>
        <v>0</v>
      </c>
      <c r="K183" s="3">
        <f t="shared" si="8"/>
        <v>0</v>
      </c>
      <c r="L183" s="3">
        <f t="shared" si="9"/>
        <v>0</v>
      </c>
      <c r="M183" s="3" t="str" cm="1">
        <f t="array" ref="M183">_xlfn.IFS(I183=1,$I$11,J183=1,$J$11,K183=1,$K$11,L183=1,$L$11)</f>
        <v>Новый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3">
      <c r="A184" s="6" t="s">
        <v>453</v>
      </c>
      <c r="B184" s="6">
        <v>28</v>
      </c>
      <c r="C184" s="6">
        <v>27</v>
      </c>
      <c r="D184" s="6">
        <v>29</v>
      </c>
      <c r="E184" s="6">
        <v>20</v>
      </c>
      <c r="F184" s="6">
        <v>23</v>
      </c>
      <c r="G184" s="6">
        <v>23</v>
      </c>
      <c r="H184" s="9" t="str" cm="1">
        <f t="array" ref="H184">_xlfn.IFS(AND(SUM(B184:D184)=0,SUM(E184:G184)&gt;0),"Новый",AND(SUM(B184:D184)&gt;0,SUM(E184:G184)&gt;0),"Действующий",AND(SUM(B184:D184)&gt;0,SUM(E184:G184)=0),"Спящий",AND(SUM(B184:G184)=0),"Ушедший")</f>
        <v>Действующий</v>
      </c>
      <c r="I184" s="3">
        <f>IF(AND(SUM(B184:D184)=0,SUM(E184:G184)&gt;0),1,0)</f>
        <v>0</v>
      </c>
      <c r="J184" s="3">
        <f t="shared" si="7"/>
        <v>1</v>
      </c>
      <c r="K184" s="3">
        <f t="shared" si="8"/>
        <v>0</v>
      </c>
      <c r="L184" s="3">
        <f t="shared" si="9"/>
        <v>0</v>
      </c>
      <c r="M184" s="3" t="str" cm="1">
        <f t="array" ref="M184">_xlfn.IFS(I184=1,$I$11,J184=1,$J$11,K184=1,$K$11,L184=1,$L$11)</f>
        <v>Действующий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 x14ac:dyDescent="0.3">
      <c r="A185" s="6" t="s">
        <v>454</v>
      </c>
      <c r="B185" s="6"/>
      <c r="C185" s="6"/>
      <c r="D185" s="6"/>
      <c r="E185" s="6"/>
      <c r="F185" s="6"/>
      <c r="G185" s="6">
        <v>1</v>
      </c>
      <c r="H185" s="9" t="str" cm="1">
        <f t="array" ref="H185">_xlfn.IFS(AND(SUM(B185:D185)=0,SUM(E185:G185)&gt;0),"Новый",AND(SUM(B185:D185)&gt;0,SUM(E185:G185)&gt;0),"Действующий",AND(SUM(B185:D185)&gt;0,SUM(E185:G185)=0),"Спящий",AND(SUM(B185:G185)=0),"Ушедший")</f>
        <v>Новый</v>
      </c>
      <c r="I185" s="3">
        <f>IF(AND(SUM(B185:D185)=0,SUM(E185:G185)&gt;0),1,0)</f>
        <v>1</v>
      </c>
      <c r="J185" s="3">
        <f t="shared" si="7"/>
        <v>0</v>
      </c>
      <c r="K185" s="3">
        <f t="shared" si="8"/>
        <v>0</v>
      </c>
      <c r="L185" s="3">
        <f t="shared" si="9"/>
        <v>0</v>
      </c>
      <c r="M185" s="3" t="str" cm="1">
        <f t="array" ref="M185">_xlfn.IFS(I185=1,$I$11,J185=1,$J$11,K185=1,$K$11,L185=1,$L$11)</f>
        <v>Новый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3">
      <c r="A186" s="6" t="s">
        <v>455</v>
      </c>
      <c r="B186" s="6">
        <v>1</v>
      </c>
      <c r="C186" s="6"/>
      <c r="D186" s="6"/>
      <c r="E186" s="6"/>
      <c r="F186" s="6"/>
      <c r="G186" s="6"/>
      <c r="H186" s="9" t="str" cm="1">
        <f t="array" ref="H186">_xlfn.IFS(AND(SUM(B186:D186)=0,SUM(E186:G186)&gt;0),"Новый",AND(SUM(B186:D186)&gt;0,SUM(E186:G186)&gt;0),"Действующий",AND(SUM(B186:D186)&gt;0,SUM(E186:G186)=0),"Спящий",AND(SUM(B186:G186)=0),"Ушедший")</f>
        <v>Спящий</v>
      </c>
      <c r="I186" s="3">
        <f>IF(AND(SUM(B186:D186)=0,SUM(E186:G186)&gt;0),1,0)</f>
        <v>0</v>
      </c>
      <c r="J186" s="3">
        <f t="shared" si="7"/>
        <v>0</v>
      </c>
      <c r="K186" s="3">
        <f t="shared" si="8"/>
        <v>1</v>
      </c>
      <c r="L186" s="3">
        <f t="shared" si="9"/>
        <v>0</v>
      </c>
      <c r="M186" s="3" t="str" cm="1">
        <f t="array" ref="M186">_xlfn.IFS(I186=1,$I$11,J186=1,$J$11,K186=1,$K$11,L186=1,$L$11)</f>
        <v>Спящий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 x14ac:dyDescent="0.3">
      <c r="A187" s="6" t="s">
        <v>456</v>
      </c>
      <c r="B187" s="6"/>
      <c r="C187" s="6">
        <v>1</v>
      </c>
      <c r="D187" s="6"/>
      <c r="E187" s="6">
        <v>1</v>
      </c>
      <c r="F187" s="6"/>
      <c r="G187" s="6"/>
      <c r="H187" s="9" t="str" cm="1">
        <f t="array" ref="H187">_xlfn.IFS(AND(SUM(B187:D187)=0,SUM(E187:G187)&gt;0),"Новый",AND(SUM(B187:D187)&gt;0,SUM(E187:G187)&gt;0),"Действующий",AND(SUM(B187:D187)&gt;0,SUM(E187:G187)=0),"Спящий",AND(SUM(B187:G187)=0),"Ушедший")</f>
        <v>Действующий</v>
      </c>
      <c r="I187" s="3">
        <f>IF(AND(SUM(B187:D187)=0,SUM(E187:G187)&gt;0),1,0)</f>
        <v>0</v>
      </c>
      <c r="J187" s="3">
        <f t="shared" si="7"/>
        <v>1</v>
      </c>
      <c r="K187" s="3">
        <f t="shared" si="8"/>
        <v>0</v>
      </c>
      <c r="L187" s="3">
        <f t="shared" si="9"/>
        <v>0</v>
      </c>
      <c r="M187" s="3" t="str" cm="1">
        <f t="array" ref="M187">_xlfn.IFS(I187=1,$I$11,J187=1,$J$11,K187=1,$K$11,L187=1,$L$11)</f>
        <v>Действующий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3">
      <c r="A188" s="6" t="s">
        <v>457</v>
      </c>
      <c r="B188" s="6"/>
      <c r="C188" s="6"/>
      <c r="D188" s="6"/>
      <c r="E188" s="6"/>
      <c r="F188" s="6">
        <v>1</v>
      </c>
      <c r="G188" s="6"/>
      <c r="H188" s="9" t="str" cm="1">
        <f t="array" ref="H188">_xlfn.IFS(AND(SUM(B188:D188)=0,SUM(E188:G188)&gt;0),"Новый",AND(SUM(B188:D188)&gt;0,SUM(E188:G188)&gt;0),"Действующий",AND(SUM(B188:D188)&gt;0,SUM(E188:G188)=0),"Спящий",AND(SUM(B188:G188)=0),"Ушедший")</f>
        <v>Новый</v>
      </c>
      <c r="I188" s="3">
        <f>IF(AND(SUM(B188:D188)=0,SUM(E188:G188)&gt;0),1,0)</f>
        <v>1</v>
      </c>
      <c r="J188" s="3">
        <f t="shared" si="7"/>
        <v>0</v>
      </c>
      <c r="K188" s="3">
        <f t="shared" si="8"/>
        <v>0</v>
      </c>
      <c r="L188" s="3">
        <f t="shared" si="9"/>
        <v>0</v>
      </c>
      <c r="M188" s="3" t="str" cm="1">
        <f t="array" ref="M188">_xlfn.IFS(I188=1,$I$11,J188=1,$J$11,K188=1,$K$11,L188=1,$L$11)</f>
        <v>Новый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 x14ac:dyDescent="0.3">
      <c r="A189" s="6" t="s">
        <v>458</v>
      </c>
      <c r="B189" s="6"/>
      <c r="C189" s="6"/>
      <c r="D189" s="6"/>
      <c r="E189" s="6"/>
      <c r="F189" s="6"/>
      <c r="G189" s="6">
        <v>1</v>
      </c>
      <c r="H189" s="9" t="str" cm="1">
        <f t="array" ref="H189">_xlfn.IFS(AND(SUM(B189:D189)=0,SUM(E189:G189)&gt;0),"Новый",AND(SUM(B189:D189)&gt;0,SUM(E189:G189)&gt;0),"Действующий",AND(SUM(B189:D189)&gt;0,SUM(E189:G189)=0),"Спящий",AND(SUM(B189:G189)=0),"Ушедший")</f>
        <v>Новый</v>
      </c>
      <c r="I189" s="3">
        <f>IF(AND(SUM(B189:D189)=0,SUM(E189:G189)&gt;0),1,0)</f>
        <v>1</v>
      </c>
      <c r="J189" s="3">
        <f t="shared" si="7"/>
        <v>0</v>
      </c>
      <c r="K189" s="3">
        <f t="shared" si="8"/>
        <v>0</v>
      </c>
      <c r="L189" s="3">
        <f t="shared" si="9"/>
        <v>0</v>
      </c>
      <c r="M189" s="3" t="str" cm="1">
        <f t="array" ref="M189">_xlfn.IFS(I189=1,$I$11,J189=1,$J$11,K189=1,$K$11,L189=1,$L$11)</f>
        <v>Новый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3">
      <c r="A190" s="6" t="s">
        <v>459</v>
      </c>
      <c r="B190" s="6">
        <v>1</v>
      </c>
      <c r="C190" s="6"/>
      <c r="D190" s="6"/>
      <c r="E190" s="6"/>
      <c r="F190" s="6"/>
      <c r="G190" s="6"/>
      <c r="H190" s="9" t="str" cm="1">
        <f t="array" ref="H190">_xlfn.IFS(AND(SUM(B190:D190)=0,SUM(E190:G190)&gt;0),"Новый",AND(SUM(B190:D190)&gt;0,SUM(E190:G190)&gt;0),"Действующий",AND(SUM(B190:D190)&gt;0,SUM(E190:G190)=0),"Спящий",AND(SUM(B190:G190)=0),"Ушедший")</f>
        <v>Спящий</v>
      </c>
      <c r="I190" s="3">
        <f>IF(AND(SUM(B190:D190)=0,SUM(E190:G190)&gt;0),1,0)</f>
        <v>0</v>
      </c>
      <c r="J190" s="3">
        <f t="shared" si="7"/>
        <v>0</v>
      </c>
      <c r="K190" s="3">
        <f t="shared" si="8"/>
        <v>1</v>
      </c>
      <c r="L190" s="3">
        <f t="shared" si="9"/>
        <v>0</v>
      </c>
      <c r="M190" s="3" t="str" cm="1">
        <f t="array" ref="M190">_xlfn.IFS(I190=1,$I$11,J190=1,$J$11,K190=1,$K$11,L190=1,$L$11)</f>
        <v>Спящий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 x14ac:dyDescent="0.3">
      <c r="A191" s="6" t="s">
        <v>460</v>
      </c>
      <c r="B191" s="6"/>
      <c r="C191" s="6"/>
      <c r="D191" s="6">
        <v>1</v>
      </c>
      <c r="E191" s="6">
        <v>2</v>
      </c>
      <c r="F191" s="6"/>
      <c r="G191" s="6"/>
      <c r="H191" s="9" t="str" cm="1">
        <f t="array" ref="H191">_xlfn.IFS(AND(SUM(B191:D191)=0,SUM(E191:G191)&gt;0),"Новый",AND(SUM(B191:D191)&gt;0,SUM(E191:G191)&gt;0),"Действующий",AND(SUM(B191:D191)&gt;0,SUM(E191:G191)=0),"Спящий",AND(SUM(B191:G191)=0),"Ушедший")</f>
        <v>Действующий</v>
      </c>
      <c r="I191" s="3">
        <f>IF(AND(SUM(B191:D191)=0,SUM(E191:G191)&gt;0),1,0)</f>
        <v>0</v>
      </c>
      <c r="J191" s="3">
        <f t="shared" si="7"/>
        <v>1</v>
      </c>
      <c r="K191" s="3">
        <f t="shared" si="8"/>
        <v>0</v>
      </c>
      <c r="L191" s="3">
        <f t="shared" si="9"/>
        <v>0</v>
      </c>
      <c r="M191" s="3" t="str" cm="1">
        <f t="array" ref="M191">_xlfn.IFS(I191=1,$I$11,J191=1,$J$11,K191=1,$K$11,L191=1,$L$11)</f>
        <v>Действующий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3">
      <c r="A192" s="6" t="s">
        <v>461</v>
      </c>
      <c r="B192" s="6">
        <v>1</v>
      </c>
      <c r="C192" s="6">
        <v>2</v>
      </c>
      <c r="D192" s="6"/>
      <c r="E192" s="6"/>
      <c r="F192" s="6"/>
      <c r="G192" s="6">
        <v>2</v>
      </c>
      <c r="H192" s="9" t="str" cm="1">
        <f t="array" ref="H192">_xlfn.IFS(AND(SUM(B192:D192)=0,SUM(E192:G192)&gt;0),"Новый",AND(SUM(B192:D192)&gt;0,SUM(E192:G192)&gt;0),"Действующий",AND(SUM(B192:D192)&gt;0,SUM(E192:G192)=0),"Спящий",AND(SUM(B192:G192)=0),"Ушедший")</f>
        <v>Действующий</v>
      </c>
      <c r="I192" s="3">
        <f>IF(AND(SUM(B192:D192)=0,SUM(E192:G192)&gt;0),1,0)</f>
        <v>0</v>
      </c>
      <c r="J192" s="3">
        <f t="shared" si="7"/>
        <v>1</v>
      </c>
      <c r="K192" s="3">
        <f t="shared" si="8"/>
        <v>0</v>
      </c>
      <c r="L192" s="3">
        <f t="shared" si="9"/>
        <v>0</v>
      </c>
      <c r="M192" s="3" t="str" cm="1">
        <f t="array" ref="M192">_xlfn.IFS(I192=1,$I$11,J192=1,$J$11,K192=1,$K$11,L192=1,$L$11)</f>
        <v>Действующий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 x14ac:dyDescent="0.3">
      <c r="A193" s="6" t="s">
        <v>462</v>
      </c>
      <c r="B193" s="6"/>
      <c r="C193" s="6">
        <v>5</v>
      </c>
      <c r="D193" s="6">
        <v>1</v>
      </c>
      <c r="E193" s="6">
        <v>2</v>
      </c>
      <c r="F193" s="6">
        <v>3</v>
      </c>
      <c r="G193" s="6">
        <v>2</v>
      </c>
      <c r="H193" s="9" t="str" cm="1">
        <f t="array" ref="H193">_xlfn.IFS(AND(SUM(B193:D193)=0,SUM(E193:G193)&gt;0),"Новый",AND(SUM(B193:D193)&gt;0,SUM(E193:G193)&gt;0),"Действующий",AND(SUM(B193:D193)&gt;0,SUM(E193:G193)=0),"Спящий",AND(SUM(B193:G193)=0),"Ушедший")</f>
        <v>Действующий</v>
      </c>
      <c r="I193" s="3">
        <f>IF(AND(SUM(B193:D193)=0,SUM(E193:G193)&gt;0),1,0)</f>
        <v>0</v>
      </c>
      <c r="J193" s="3">
        <f t="shared" si="7"/>
        <v>1</v>
      </c>
      <c r="K193" s="3">
        <f t="shared" si="8"/>
        <v>0</v>
      </c>
      <c r="L193" s="3">
        <f t="shared" si="9"/>
        <v>0</v>
      </c>
      <c r="M193" s="3" t="str" cm="1">
        <f t="array" ref="M193">_xlfn.IFS(I193=1,$I$11,J193=1,$J$11,K193=1,$K$11,L193=1,$L$11)</f>
        <v>Действующий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3">
      <c r="A194" s="6" t="s">
        <v>463</v>
      </c>
      <c r="B194" s="6">
        <v>2</v>
      </c>
      <c r="C194" s="6"/>
      <c r="D194" s="6"/>
      <c r="E194" s="6"/>
      <c r="F194" s="6"/>
      <c r="G194" s="6"/>
      <c r="H194" s="9" t="str" cm="1">
        <f t="array" ref="H194">_xlfn.IFS(AND(SUM(B194:D194)=0,SUM(E194:G194)&gt;0),"Новый",AND(SUM(B194:D194)&gt;0,SUM(E194:G194)&gt;0),"Действующий",AND(SUM(B194:D194)&gt;0,SUM(E194:G194)=0),"Спящий",AND(SUM(B194:G194)=0),"Ушедший")</f>
        <v>Спящий</v>
      </c>
      <c r="I194" s="3">
        <f>IF(AND(SUM(B194:D194)=0,SUM(E194:G194)&gt;0),1,0)</f>
        <v>0</v>
      </c>
      <c r="J194" s="3">
        <f t="shared" si="7"/>
        <v>0</v>
      </c>
      <c r="K194" s="3">
        <f t="shared" si="8"/>
        <v>1</v>
      </c>
      <c r="L194" s="3">
        <f t="shared" si="9"/>
        <v>0</v>
      </c>
      <c r="M194" s="3" t="str" cm="1">
        <f t="array" ref="M194">_xlfn.IFS(I194=1,$I$11,J194=1,$J$11,K194=1,$K$11,L194=1,$L$11)</f>
        <v>Спящий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 x14ac:dyDescent="0.3">
      <c r="A195" s="6" t="s">
        <v>464</v>
      </c>
      <c r="B195" s="6">
        <v>1</v>
      </c>
      <c r="C195" s="6">
        <v>1</v>
      </c>
      <c r="D195" s="6">
        <v>4</v>
      </c>
      <c r="E195" s="6">
        <v>1</v>
      </c>
      <c r="F195" s="6"/>
      <c r="G195" s="6"/>
      <c r="H195" s="9" t="str" cm="1">
        <f t="array" ref="H195">_xlfn.IFS(AND(SUM(B195:D195)=0,SUM(E195:G195)&gt;0),"Новый",AND(SUM(B195:D195)&gt;0,SUM(E195:G195)&gt;0),"Действующий",AND(SUM(B195:D195)&gt;0,SUM(E195:G195)=0),"Спящий",AND(SUM(B195:G195)=0),"Ушедший")</f>
        <v>Действующий</v>
      </c>
      <c r="I195" s="3">
        <f>IF(AND(SUM(B195:D195)=0,SUM(E195:G195)&gt;0),1,0)</f>
        <v>0</v>
      </c>
      <c r="J195" s="3">
        <f t="shared" si="7"/>
        <v>1</v>
      </c>
      <c r="K195" s="3">
        <f t="shared" si="8"/>
        <v>0</v>
      </c>
      <c r="L195" s="3">
        <f t="shared" si="9"/>
        <v>0</v>
      </c>
      <c r="M195" s="3" t="str" cm="1">
        <f t="array" ref="M195">_xlfn.IFS(I195=1,$I$11,J195=1,$J$11,K195=1,$K$11,L195=1,$L$11)</f>
        <v>Действующий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3">
      <c r="A196" s="6" t="s">
        <v>465</v>
      </c>
      <c r="B196" s="6"/>
      <c r="C196" s="6"/>
      <c r="D196" s="6"/>
      <c r="E196" s="6"/>
      <c r="F196" s="6">
        <v>1</v>
      </c>
      <c r="G196" s="6"/>
      <c r="H196" s="9" t="str" cm="1">
        <f t="array" ref="H196">_xlfn.IFS(AND(SUM(B196:D196)=0,SUM(E196:G196)&gt;0),"Новый",AND(SUM(B196:D196)&gt;0,SUM(E196:G196)&gt;0),"Действующий",AND(SUM(B196:D196)&gt;0,SUM(E196:G196)=0),"Спящий",AND(SUM(B196:G196)=0),"Ушедший")</f>
        <v>Новый</v>
      </c>
      <c r="I196" s="3">
        <f>IF(AND(SUM(B196:D196)=0,SUM(E196:G196)&gt;0),1,0)</f>
        <v>1</v>
      </c>
      <c r="J196" s="3">
        <f t="shared" si="7"/>
        <v>0</v>
      </c>
      <c r="K196" s="3">
        <f t="shared" si="8"/>
        <v>0</v>
      </c>
      <c r="L196" s="3">
        <f t="shared" si="9"/>
        <v>0</v>
      </c>
      <c r="M196" s="3" t="str" cm="1">
        <f t="array" ref="M196">_xlfn.IFS(I196=1,$I$11,J196=1,$J$11,K196=1,$K$11,L196=1,$L$11)</f>
        <v>Новый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 x14ac:dyDescent="0.3">
      <c r="A197" s="6" t="s">
        <v>466</v>
      </c>
      <c r="B197" s="6">
        <v>2</v>
      </c>
      <c r="C197" s="6">
        <v>1</v>
      </c>
      <c r="D197" s="6"/>
      <c r="E197" s="6"/>
      <c r="F197" s="6"/>
      <c r="G197" s="6"/>
      <c r="H197" s="9" t="str" cm="1">
        <f t="array" ref="H197">_xlfn.IFS(AND(SUM(B197:D197)=0,SUM(E197:G197)&gt;0),"Новый",AND(SUM(B197:D197)&gt;0,SUM(E197:G197)&gt;0),"Действующий",AND(SUM(B197:D197)&gt;0,SUM(E197:G197)=0),"Спящий",AND(SUM(B197:G197)=0),"Ушедший")</f>
        <v>Спящий</v>
      </c>
      <c r="I197" s="3">
        <f>IF(AND(SUM(B197:D197)=0,SUM(E197:G197)&gt;0),1,0)</f>
        <v>0</v>
      </c>
      <c r="J197" s="3">
        <f t="shared" si="7"/>
        <v>0</v>
      </c>
      <c r="K197" s="3">
        <f t="shared" si="8"/>
        <v>1</v>
      </c>
      <c r="L197" s="3">
        <f t="shared" si="9"/>
        <v>0</v>
      </c>
      <c r="M197" s="3" t="str" cm="1">
        <f t="array" ref="M197">_xlfn.IFS(I197=1,$I$11,J197=1,$J$11,K197=1,$K$11,L197=1,$L$11)</f>
        <v>Спящий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3">
      <c r="A198" s="6" t="s">
        <v>467</v>
      </c>
      <c r="B198" s="6"/>
      <c r="C198" s="6"/>
      <c r="D198" s="6">
        <v>2</v>
      </c>
      <c r="E198" s="6">
        <v>1</v>
      </c>
      <c r="F198" s="6">
        <v>1</v>
      </c>
      <c r="G198" s="6">
        <v>1</v>
      </c>
      <c r="H198" s="9" t="str" cm="1">
        <f t="array" ref="H198">_xlfn.IFS(AND(SUM(B198:D198)=0,SUM(E198:G198)&gt;0),"Новый",AND(SUM(B198:D198)&gt;0,SUM(E198:G198)&gt;0),"Действующий",AND(SUM(B198:D198)&gt;0,SUM(E198:G198)=0),"Спящий",AND(SUM(B198:G198)=0),"Ушедший")</f>
        <v>Действующий</v>
      </c>
      <c r="I198" s="3">
        <f>IF(AND(SUM(B198:D198)=0,SUM(E198:G198)&gt;0),1,0)</f>
        <v>0</v>
      </c>
      <c r="J198" s="3">
        <f t="shared" si="7"/>
        <v>1</v>
      </c>
      <c r="K198" s="3">
        <f t="shared" si="8"/>
        <v>0</v>
      </c>
      <c r="L198" s="3">
        <f t="shared" si="9"/>
        <v>0</v>
      </c>
      <c r="M198" s="3" t="str" cm="1">
        <f t="array" ref="M198">_xlfn.IFS(I198=1,$I$11,J198=1,$J$11,K198=1,$K$11,L198=1,$L$11)</f>
        <v>Действующий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 x14ac:dyDescent="0.3">
      <c r="A199" s="6" t="s">
        <v>468</v>
      </c>
      <c r="B199" s="6"/>
      <c r="C199" s="6"/>
      <c r="D199" s="6"/>
      <c r="E199" s="6"/>
      <c r="F199" s="6"/>
      <c r="G199" s="6">
        <v>1</v>
      </c>
      <c r="H199" s="9" t="str" cm="1">
        <f t="array" ref="H199">_xlfn.IFS(AND(SUM(B199:D199)=0,SUM(E199:G199)&gt;0),"Новый",AND(SUM(B199:D199)&gt;0,SUM(E199:G199)&gt;0),"Действующий",AND(SUM(B199:D199)&gt;0,SUM(E199:G199)=0),"Спящий",AND(SUM(B199:G199)=0),"Ушедший")</f>
        <v>Новый</v>
      </c>
      <c r="I199" s="3">
        <f>IF(AND(SUM(B199:D199)=0,SUM(E199:G199)&gt;0),1,0)</f>
        <v>1</v>
      </c>
      <c r="J199" s="3">
        <f t="shared" si="7"/>
        <v>0</v>
      </c>
      <c r="K199" s="3">
        <f t="shared" si="8"/>
        <v>0</v>
      </c>
      <c r="L199" s="3">
        <f t="shared" si="9"/>
        <v>0</v>
      </c>
      <c r="M199" s="3" t="str" cm="1">
        <f t="array" ref="M199">_xlfn.IFS(I199=1,$I$11,J199=1,$J$11,K199=1,$K$11,L199=1,$L$11)</f>
        <v>Новый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3">
      <c r="A200" s="6" t="s">
        <v>469</v>
      </c>
      <c r="B200" s="6"/>
      <c r="C200" s="6"/>
      <c r="D200" s="6"/>
      <c r="E200" s="6"/>
      <c r="F200" s="6">
        <v>1</v>
      </c>
      <c r="G200" s="6"/>
      <c r="H200" s="9" t="str" cm="1">
        <f t="array" ref="H200">_xlfn.IFS(AND(SUM(B200:D200)=0,SUM(E200:G200)&gt;0),"Новый",AND(SUM(B200:D200)&gt;0,SUM(E200:G200)&gt;0),"Действующий",AND(SUM(B200:D200)&gt;0,SUM(E200:G200)=0),"Спящий",AND(SUM(B200:G200)=0),"Ушедший")</f>
        <v>Новый</v>
      </c>
      <c r="I200" s="3">
        <f>IF(AND(SUM(B200:D200)=0,SUM(E200:G200)&gt;0),1,0)</f>
        <v>1</v>
      </c>
      <c r="J200" s="3">
        <f t="shared" si="7"/>
        <v>0</v>
      </c>
      <c r="K200" s="3">
        <f t="shared" si="8"/>
        <v>0</v>
      </c>
      <c r="L200" s="3">
        <f t="shared" si="9"/>
        <v>0</v>
      </c>
      <c r="M200" s="3" t="str" cm="1">
        <f t="array" ref="M200">_xlfn.IFS(I200=1,$I$11,J200=1,$J$11,K200=1,$K$11,L200=1,$L$11)</f>
        <v>Новый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 x14ac:dyDescent="0.3">
      <c r="A201" s="6" t="s">
        <v>470</v>
      </c>
      <c r="B201" s="6">
        <v>1</v>
      </c>
      <c r="C201" s="6"/>
      <c r="D201" s="6">
        <v>1</v>
      </c>
      <c r="E201" s="6">
        <v>1</v>
      </c>
      <c r="F201" s="6">
        <v>1</v>
      </c>
      <c r="G201" s="6">
        <v>1</v>
      </c>
      <c r="H201" s="9" t="str" cm="1">
        <f t="array" ref="H201">_xlfn.IFS(AND(SUM(B201:D201)=0,SUM(E201:G201)&gt;0),"Новый",AND(SUM(B201:D201)&gt;0,SUM(E201:G201)&gt;0),"Действующий",AND(SUM(B201:D201)&gt;0,SUM(E201:G201)=0),"Спящий",AND(SUM(B201:G201)=0),"Ушедший")</f>
        <v>Действующий</v>
      </c>
      <c r="I201" s="3">
        <f>IF(AND(SUM(B201:D201)=0,SUM(E201:G201)&gt;0),1,0)</f>
        <v>0</v>
      </c>
      <c r="J201" s="3">
        <f t="shared" si="7"/>
        <v>1</v>
      </c>
      <c r="K201" s="3">
        <f t="shared" si="8"/>
        <v>0</v>
      </c>
      <c r="L201" s="3">
        <f t="shared" si="9"/>
        <v>0</v>
      </c>
      <c r="M201" s="3" t="str" cm="1">
        <f t="array" ref="M201">_xlfn.IFS(I201=1,$I$11,J201=1,$J$11,K201=1,$K$11,L201=1,$L$11)</f>
        <v>Действующий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3">
      <c r="A202" s="6" t="s">
        <v>471</v>
      </c>
      <c r="B202" s="6"/>
      <c r="C202" s="6"/>
      <c r="D202" s="6"/>
      <c r="E202" s="6">
        <v>1</v>
      </c>
      <c r="F202" s="6"/>
      <c r="G202" s="6"/>
      <c r="H202" s="9" t="str" cm="1">
        <f t="array" ref="H202">_xlfn.IFS(AND(SUM(B202:D202)=0,SUM(E202:G202)&gt;0),"Новый",AND(SUM(B202:D202)&gt;0,SUM(E202:G202)&gt;0),"Действующий",AND(SUM(B202:D202)&gt;0,SUM(E202:G202)=0),"Спящий",AND(SUM(B202:G202)=0),"Ушедший")</f>
        <v>Новый</v>
      </c>
      <c r="I202" s="3">
        <f>IF(AND(SUM(B202:D202)=0,SUM(E202:G202)&gt;0),1,0)</f>
        <v>1</v>
      </c>
      <c r="J202" s="3">
        <f t="shared" si="7"/>
        <v>0</v>
      </c>
      <c r="K202" s="3">
        <f t="shared" si="8"/>
        <v>0</v>
      </c>
      <c r="L202" s="3">
        <f t="shared" si="9"/>
        <v>0</v>
      </c>
      <c r="M202" s="3" t="str" cm="1">
        <f t="array" ref="M202">_xlfn.IFS(I202=1,$I$11,J202=1,$J$11,K202=1,$K$11,L202=1,$L$11)</f>
        <v>Новый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 x14ac:dyDescent="0.3">
      <c r="A203" s="6" t="s">
        <v>472</v>
      </c>
      <c r="B203" s="6"/>
      <c r="C203" s="6"/>
      <c r="D203" s="6"/>
      <c r="E203" s="6"/>
      <c r="F203" s="6"/>
      <c r="G203" s="6">
        <v>1</v>
      </c>
      <c r="H203" s="9" t="str" cm="1">
        <f t="array" ref="H203">_xlfn.IFS(AND(SUM(B203:D203)=0,SUM(E203:G203)&gt;0),"Новый",AND(SUM(B203:D203)&gt;0,SUM(E203:G203)&gt;0),"Действующий",AND(SUM(B203:D203)&gt;0,SUM(E203:G203)=0),"Спящий",AND(SUM(B203:G203)=0),"Ушедший")</f>
        <v>Новый</v>
      </c>
      <c r="I203" s="3">
        <f>IF(AND(SUM(B203:D203)=0,SUM(E203:G203)&gt;0),1,0)</f>
        <v>1</v>
      </c>
      <c r="J203" s="3">
        <f t="shared" si="7"/>
        <v>0</v>
      </c>
      <c r="K203" s="3">
        <f t="shared" si="8"/>
        <v>0</v>
      </c>
      <c r="L203" s="3">
        <f t="shared" si="9"/>
        <v>0</v>
      </c>
      <c r="M203" s="3" t="str" cm="1">
        <f t="array" ref="M203">_xlfn.IFS(I203=1,$I$11,J203=1,$J$11,K203=1,$K$11,L203=1,$L$11)</f>
        <v>Новый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3">
      <c r="A204" s="6" t="s">
        <v>473</v>
      </c>
      <c r="B204" s="6"/>
      <c r="C204" s="6"/>
      <c r="D204" s="6">
        <v>1</v>
      </c>
      <c r="E204" s="6"/>
      <c r="F204" s="6"/>
      <c r="G204" s="6"/>
      <c r="H204" s="9" t="str" cm="1">
        <f t="array" ref="H204">_xlfn.IFS(AND(SUM(B204:D204)=0,SUM(E204:G204)&gt;0),"Новый",AND(SUM(B204:D204)&gt;0,SUM(E204:G204)&gt;0),"Действующий",AND(SUM(B204:D204)&gt;0,SUM(E204:G204)=0),"Спящий",AND(SUM(B204:G204)=0),"Ушедший")</f>
        <v>Спящий</v>
      </c>
      <c r="I204" s="3">
        <f>IF(AND(SUM(B204:D204)=0,SUM(E204:G204)&gt;0),1,0)</f>
        <v>0</v>
      </c>
      <c r="J204" s="3">
        <f t="shared" si="7"/>
        <v>0</v>
      </c>
      <c r="K204" s="3">
        <f t="shared" si="8"/>
        <v>1</v>
      </c>
      <c r="L204" s="3">
        <f t="shared" si="9"/>
        <v>0</v>
      </c>
      <c r="M204" s="3" t="str" cm="1">
        <f t="array" ref="M204">_xlfn.IFS(I204=1,$I$11,J204=1,$J$11,K204=1,$K$11,L204=1,$L$11)</f>
        <v>Спящий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 x14ac:dyDescent="0.3">
      <c r="A205" s="6" t="s">
        <v>474</v>
      </c>
      <c r="B205" s="6"/>
      <c r="C205" s="6">
        <v>4</v>
      </c>
      <c r="D205" s="6">
        <v>1</v>
      </c>
      <c r="E205" s="6"/>
      <c r="F205" s="6">
        <v>1</v>
      </c>
      <c r="G205" s="6"/>
      <c r="H205" s="9" t="str" cm="1">
        <f t="array" ref="H205">_xlfn.IFS(AND(SUM(B205:D205)=0,SUM(E205:G205)&gt;0),"Новый",AND(SUM(B205:D205)&gt;0,SUM(E205:G205)&gt;0),"Действующий",AND(SUM(B205:D205)&gt;0,SUM(E205:G205)=0),"Спящий",AND(SUM(B205:G205)=0),"Ушедший")</f>
        <v>Действующий</v>
      </c>
      <c r="I205" s="3">
        <f>IF(AND(SUM(B205:D205)=0,SUM(E205:G205)&gt;0),1,0)</f>
        <v>0</v>
      </c>
      <c r="J205" s="3">
        <f t="shared" ref="J205:J268" si="10">IF(AND(SUM(B205:D205)&gt;0,SUM(E205:G205)&gt;0),1,0)</f>
        <v>1</v>
      </c>
      <c r="K205" s="3">
        <f t="shared" ref="K205:K268" si="11">IF(AND(SUM(B205:D205)&gt;0,SUM(E205:G205)=0),1,0)</f>
        <v>0</v>
      </c>
      <c r="L205" s="3">
        <f t="shared" ref="L205:L268" si="12">IF(AND(SUM(B205:D205)=0,SUM(E205:G205)=0),1,0)</f>
        <v>0</v>
      </c>
      <c r="M205" s="3" t="str" cm="1">
        <f t="array" ref="M205">_xlfn.IFS(I205=1,$I$11,J205=1,$J$11,K205=1,$K$11,L205=1,$L$11)</f>
        <v>Действующий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3">
      <c r="A206" s="6" t="s">
        <v>475</v>
      </c>
      <c r="B206" s="6"/>
      <c r="C206" s="6"/>
      <c r="D206" s="6"/>
      <c r="E206" s="6"/>
      <c r="F206" s="6">
        <v>1</v>
      </c>
      <c r="G206" s="6"/>
      <c r="H206" s="9" t="str" cm="1">
        <f t="array" ref="H206">_xlfn.IFS(AND(SUM(B206:D206)=0,SUM(E206:G206)&gt;0),"Новый",AND(SUM(B206:D206)&gt;0,SUM(E206:G206)&gt;0),"Действующий",AND(SUM(B206:D206)&gt;0,SUM(E206:G206)=0),"Спящий",AND(SUM(B206:G206)=0),"Ушедший")</f>
        <v>Новый</v>
      </c>
      <c r="I206" s="3">
        <f>IF(AND(SUM(B206:D206)=0,SUM(E206:G206)&gt;0),1,0)</f>
        <v>1</v>
      </c>
      <c r="J206" s="3">
        <f t="shared" si="10"/>
        <v>0</v>
      </c>
      <c r="K206" s="3">
        <f t="shared" si="11"/>
        <v>0</v>
      </c>
      <c r="L206" s="3">
        <f t="shared" si="12"/>
        <v>0</v>
      </c>
      <c r="M206" s="3" t="str" cm="1">
        <f t="array" ref="M206">_xlfn.IFS(I206=1,$I$11,J206=1,$J$11,K206=1,$K$11,L206=1,$L$11)</f>
        <v>Новый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 x14ac:dyDescent="0.3">
      <c r="A207" s="6" t="s">
        <v>476</v>
      </c>
      <c r="B207" s="6"/>
      <c r="C207" s="6">
        <v>1</v>
      </c>
      <c r="D207" s="6"/>
      <c r="E207" s="6"/>
      <c r="F207" s="6"/>
      <c r="G207" s="6"/>
      <c r="H207" s="9" t="str" cm="1">
        <f t="array" ref="H207">_xlfn.IFS(AND(SUM(B207:D207)=0,SUM(E207:G207)&gt;0),"Новый",AND(SUM(B207:D207)&gt;0,SUM(E207:G207)&gt;0),"Действующий",AND(SUM(B207:D207)&gt;0,SUM(E207:G207)=0),"Спящий",AND(SUM(B207:G207)=0),"Ушедший")</f>
        <v>Спящий</v>
      </c>
      <c r="I207" s="3">
        <f>IF(AND(SUM(B207:D207)=0,SUM(E207:G207)&gt;0),1,0)</f>
        <v>0</v>
      </c>
      <c r="J207" s="3">
        <f t="shared" si="10"/>
        <v>0</v>
      </c>
      <c r="K207" s="3">
        <f t="shared" si="11"/>
        <v>1</v>
      </c>
      <c r="L207" s="3">
        <f t="shared" si="12"/>
        <v>0</v>
      </c>
      <c r="M207" s="3" t="str" cm="1">
        <f t="array" ref="M207">_xlfn.IFS(I207=1,$I$11,J207=1,$J$11,K207=1,$K$11,L207=1,$L$11)</f>
        <v>Спящий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3">
      <c r="A208" s="6" t="s">
        <v>477</v>
      </c>
      <c r="B208" s="6"/>
      <c r="C208" s="6"/>
      <c r="D208" s="6"/>
      <c r="E208" s="6"/>
      <c r="F208" s="6"/>
      <c r="G208" s="6">
        <v>1</v>
      </c>
      <c r="H208" s="9" t="str" cm="1">
        <f t="array" ref="H208">_xlfn.IFS(AND(SUM(B208:D208)=0,SUM(E208:G208)&gt;0),"Новый",AND(SUM(B208:D208)&gt;0,SUM(E208:G208)&gt;0),"Действующий",AND(SUM(B208:D208)&gt;0,SUM(E208:G208)=0),"Спящий",AND(SUM(B208:G208)=0),"Ушедший")</f>
        <v>Новый</v>
      </c>
      <c r="I208" s="3">
        <f>IF(AND(SUM(B208:D208)=0,SUM(E208:G208)&gt;0),1,0)</f>
        <v>1</v>
      </c>
      <c r="J208" s="3">
        <f t="shared" si="10"/>
        <v>0</v>
      </c>
      <c r="K208" s="3">
        <f t="shared" si="11"/>
        <v>0</v>
      </c>
      <c r="L208" s="3">
        <f t="shared" si="12"/>
        <v>0</v>
      </c>
      <c r="M208" s="3" t="str" cm="1">
        <f t="array" ref="M208">_xlfn.IFS(I208=1,$I$11,J208=1,$J$11,K208=1,$K$11,L208=1,$L$11)</f>
        <v>Новый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 x14ac:dyDescent="0.3">
      <c r="A209" s="6" t="s">
        <v>478</v>
      </c>
      <c r="B209" s="6"/>
      <c r="C209" s="6"/>
      <c r="D209" s="6"/>
      <c r="E209" s="6">
        <v>1</v>
      </c>
      <c r="F209" s="6"/>
      <c r="G209" s="6"/>
      <c r="H209" s="9" t="str" cm="1">
        <f t="array" ref="H209">_xlfn.IFS(AND(SUM(B209:D209)=0,SUM(E209:G209)&gt;0),"Новый",AND(SUM(B209:D209)&gt;0,SUM(E209:G209)&gt;0),"Действующий",AND(SUM(B209:D209)&gt;0,SUM(E209:G209)=0),"Спящий",AND(SUM(B209:G209)=0),"Ушедший")</f>
        <v>Новый</v>
      </c>
      <c r="I209" s="3">
        <f>IF(AND(SUM(B209:D209)=0,SUM(E209:G209)&gt;0),1,0)</f>
        <v>1</v>
      </c>
      <c r="J209" s="3">
        <f t="shared" si="10"/>
        <v>0</v>
      </c>
      <c r="K209" s="3">
        <f t="shared" si="11"/>
        <v>0</v>
      </c>
      <c r="L209" s="3">
        <f t="shared" si="12"/>
        <v>0</v>
      </c>
      <c r="M209" s="3" t="str" cm="1">
        <f t="array" ref="M209">_xlfn.IFS(I209=1,$I$11,J209=1,$J$11,K209=1,$K$11,L209=1,$L$11)</f>
        <v>Новый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3">
      <c r="A210" s="6" t="s">
        <v>479</v>
      </c>
      <c r="B210" s="6"/>
      <c r="C210" s="6"/>
      <c r="D210" s="6"/>
      <c r="E210" s="6"/>
      <c r="F210" s="6">
        <v>1</v>
      </c>
      <c r="G210" s="6"/>
      <c r="H210" s="9" t="str" cm="1">
        <f t="array" ref="H210">_xlfn.IFS(AND(SUM(B210:D210)=0,SUM(E210:G210)&gt;0),"Новый",AND(SUM(B210:D210)&gt;0,SUM(E210:G210)&gt;0),"Действующий",AND(SUM(B210:D210)&gt;0,SUM(E210:G210)=0),"Спящий",AND(SUM(B210:G210)=0),"Ушедший")</f>
        <v>Новый</v>
      </c>
      <c r="I210" s="3">
        <f>IF(AND(SUM(B210:D210)=0,SUM(E210:G210)&gt;0),1,0)</f>
        <v>1</v>
      </c>
      <c r="J210" s="3">
        <f t="shared" si="10"/>
        <v>0</v>
      </c>
      <c r="K210" s="3">
        <f t="shared" si="11"/>
        <v>0</v>
      </c>
      <c r="L210" s="3">
        <f t="shared" si="12"/>
        <v>0</v>
      </c>
      <c r="M210" s="3" t="str" cm="1">
        <f t="array" ref="M210">_xlfn.IFS(I210=1,$I$11,J210=1,$J$11,K210=1,$K$11,L210=1,$L$11)</f>
        <v>Новый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 x14ac:dyDescent="0.3">
      <c r="A211" s="6" t="s">
        <v>480</v>
      </c>
      <c r="B211" s="6">
        <v>1</v>
      </c>
      <c r="C211" s="6"/>
      <c r="D211" s="6"/>
      <c r="E211" s="6"/>
      <c r="F211" s="6"/>
      <c r="G211" s="6"/>
      <c r="H211" s="9" t="str" cm="1">
        <f t="array" ref="H211">_xlfn.IFS(AND(SUM(B211:D211)=0,SUM(E211:G211)&gt;0),"Новый",AND(SUM(B211:D211)&gt;0,SUM(E211:G211)&gt;0),"Действующий",AND(SUM(B211:D211)&gt;0,SUM(E211:G211)=0),"Спящий",AND(SUM(B211:G211)=0),"Ушедший")</f>
        <v>Спящий</v>
      </c>
      <c r="I211" s="3">
        <f>IF(AND(SUM(B211:D211)=0,SUM(E211:G211)&gt;0),1,0)</f>
        <v>0</v>
      </c>
      <c r="J211" s="3">
        <f t="shared" si="10"/>
        <v>0</v>
      </c>
      <c r="K211" s="3">
        <f t="shared" si="11"/>
        <v>1</v>
      </c>
      <c r="L211" s="3">
        <f t="shared" si="12"/>
        <v>0</v>
      </c>
      <c r="M211" s="3" t="str" cm="1">
        <f t="array" ref="M211">_xlfn.IFS(I211=1,$I$11,J211=1,$J$11,K211=1,$K$11,L211=1,$L$11)</f>
        <v>Спящий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3">
      <c r="A212" s="6" t="s">
        <v>481</v>
      </c>
      <c r="B212" s="6"/>
      <c r="C212" s="6">
        <v>1</v>
      </c>
      <c r="D212" s="6"/>
      <c r="E212" s="6"/>
      <c r="F212" s="6"/>
      <c r="G212" s="6"/>
      <c r="H212" s="9" t="str" cm="1">
        <f t="array" ref="H212">_xlfn.IFS(AND(SUM(B212:D212)=0,SUM(E212:G212)&gt;0),"Новый",AND(SUM(B212:D212)&gt;0,SUM(E212:G212)&gt;0),"Действующий",AND(SUM(B212:D212)&gt;0,SUM(E212:G212)=0),"Спящий",AND(SUM(B212:G212)=0),"Ушедший")</f>
        <v>Спящий</v>
      </c>
      <c r="I212" s="3">
        <f>IF(AND(SUM(B212:D212)=0,SUM(E212:G212)&gt;0),1,0)</f>
        <v>0</v>
      </c>
      <c r="J212" s="3">
        <f t="shared" si="10"/>
        <v>0</v>
      </c>
      <c r="K212" s="3">
        <f t="shared" si="11"/>
        <v>1</v>
      </c>
      <c r="L212" s="3">
        <f t="shared" si="12"/>
        <v>0</v>
      </c>
      <c r="M212" s="3" t="str" cm="1">
        <f t="array" ref="M212">_xlfn.IFS(I212=1,$I$11,J212=1,$J$11,K212=1,$K$11,L212=1,$L$11)</f>
        <v>Спящий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 x14ac:dyDescent="0.3">
      <c r="A213" s="6" t="s">
        <v>482</v>
      </c>
      <c r="B213" s="6"/>
      <c r="C213" s="6"/>
      <c r="D213" s="6">
        <v>2</v>
      </c>
      <c r="E213" s="6"/>
      <c r="F213" s="6"/>
      <c r="G213" s="6"/>
      <c r="H213" s="9" t="str" cm="1">
        <f t="array" ref="H213">_xlfn.IFS(AND(SUM(B213:D213)=0,SUM(E213:G213)&gt;0),"Новый",AND(SUM(B213:D213)&gt;0,SUM(E213:G213)&gt;0),"Действующий",AND(SUM(B213:D213)&gt;0,SUM(E213:G213)=0),"Спящий",AND(SUM(B213:G213)=0),"Ушедший")</f>
        <v>Спящий</v>
      </c>
      <c r="I213" s="3">
        <f>IF(AND(SUM(B213:D213)=0,SUM(E213:G213)&gt;0),1,0)</f>
        <v>0</v>
      </c>
      <c r="J213" s="3">
        <f t="shared" si="10"/>
        <v>0</v>
      </c>
      <c r="K213" s="3">
        <f t="shared" si="11"/>
        <v>1</v>
      </c>
      <c r="L213" s="3">
        <f t="shared" si="12"/>
        <v>0</v>
      </c>
      <c r="M213" s="3" t="str" cm="1">
        <f t="array" ref="M213">_xlfn.IFS(I213=1,$I$11,J213=1,$J$11,K213=1,$K$11,L213=1,$L$11)</f>
        <v>Спящий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3">
      <c r="A214" s="6" t="s">
        <v>483</v>
      </c>
      <c r="B214" s="6"/>
      <c r="C214" s="6"/>
      <c r="D214" s="6"/>
      <c r="E214" s="6"/>
      <c r="F214" s="6">
        <v>1</v>
      </c>
      <c r="G214" s="6"/>
      <c r="H214" s="9" t="str" cm="1">
        <f t="array" ref="H214">_xlfn.IFS(AND(SUM(B214:D214)=0,SUM(E214:G214)&gt;0),"Новый",AND(SUM(B214:D214)&gt;0,SUM(E214:G214)&gt;0),"Действующий",AND(SUM(B214:D214)&gt;0,SUM(E214:G214)=0),"Спящий",AND(SUM(B214:G214)=0),"Ушедший")</f>
        <v>Новый</v>
      </c>
      <c r="I214" s="3">
        <f>IF(AND(SUM(B214:D214)=0,SUM(E214:G214)&gt;0),1,0)</f>
        <v>1</v>
      </c>
      <c r="J214" s="3">
        <f t="shared" si="10"/>
        <v>0</v>
      </c>
      <c r="K214" s="3">
        <f t="shared" si="11"/>
        <v>0</v>
      </c>
      <c r="L214" s="3">
        <f t="shared" si="12"/>
        <v>0</v>
      </c>
      <c r="M214" s="3" t="str" cm="1">
        <f t="array" ref="M214">_xlfn.IFS(I214=1,$I$11,J214=1,$J$11,K214=1,$K$11,L214=1,$L$11)</f>
        <v>Новый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 x14ac:dyDescent="0.3">
      <c r="A215" s="6" t="s">
        <v>484</v>
      </c>
      <c r="B215" s="6"/>
      <c r="C215" s="6">
        <v>1</v>
      </c>
      <c r="D215" s="6"/>
      <c r="E215" s="6"/>
      <c r="F215" s="6"/>
      <c r="G215" s="6"/>
      <c r="H215" s="9" t="str" cm="1">
        <f t="array" ref="H215">_xlfn.IFS(AND(SUM(B215:D215)=0,SUM(E215:G215)&gt;0),"Новый",AND(SUM(B215:D215)&gt;0,SUM(E215:G215)&gt;0),"Действующий",AND(SUM(B215:D215)&gt;0,SUM(E215:G215)=0),"Спящий",AND(SUM(B215:G215)=0),"Ушедший")</f>
        <v>Спящий</v>
      </c>
      <c r="I215" s="3">
        <f>IF(AND(SUM(B215:D215)=0,SUM(E215:G215)&gt;0),1,0)</f>
        <v>0</v>
      </c>
      <c r="J215" s="3">
        <f t="shared" si="10"/>
        <v>0</v>
      </c>
      <c r="K215" s="3">
        <f t="shared" si="11"/>
        <v>1</v>
      </c>
      <c r="L215" s="3">
        <f t="shared" si="12"/>
        <v>0</v>
      </c>
      <c r="M215" s="3" t="str" cm="1">
        <f t="array" ref="M215">_xlfn.IFS(I215=1,$I$11,J215=1,$J$11,K215=1,$K$11,L215=1,$L$11)</f>
        <v>Спящий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3">
      <c r="A216" s="6" t="s">
        <v>485</v>
      </c>
      <c r="B216" s="6"/>
      <c r="C216" s="6"/>
      <c r="D216" s="6">
        <v>1</v>
      </c>
      <c r="E216" s="6"/>
      <c r="F216" s="6"/>
      <c r="G216" s="6"/>
      <c r="H216" s="9" t="str" cm="1">
        <f t="array" ref="H216">_xlfn.IFS(AND(SUM(B216:D216)=0,SUM(E216:G216)&gt;0),"Новый",AND(SUM(B216:D216)&gt;0,SUM(E216:G216)&gt;0),"Действующий",AND(SUM(B216:D216)&gt;0,SUM(E216:G216)=0),"Спящий",AND(SUM(B216:G216)=0),"Ушедший")</f>
        <v>Спящий</v>
      </c>
      <c r="I216" s="3">
        <f>IF(AND(SUM(B216:D216)=0,SUM(E216:G216)&gt;0),1,0)</f>
        <v>0</v>
      </c>
      <c r="J216" s="3">
        <f t="shared" si="10"/>
        <v>0</v>
      </c>
      <c r="K216" s="3">
        <f t="shared" si="11"/>
        <v>1</v>
      </c>
      <c r="L216" s="3">
        <f t="shared" si="12"/>
        <v>0</v>
      </c>
      <c r="M216" s="3" t="str" cm="1">
        <f t="array" ref="M216">_xlfn.IFS(I216=1,$I$11,J216=1,$J$11,K216=1,$K$11,L216=1,$L$11)</f>
        <v>Спящий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 x14ac:dyDescent="0.3">
      <c r="A217" s="6" t="s">
        <v>486</v>
      </c>
      <c r="B217" s="6"/>
      <c r="C217" s="6">
        <v>1</v>
      </c>
      <c r="D217" s="6"/>
      <c r="E217" s="6"/>
      <c r="F217" s="6"/>
      <c r="G217" s="6"/>
      <c r="H217" s="9" t="str" cm="1">
        <f t="array" ref="H217">_xlfn.IFS(AND(SUM(B217:D217)=0,SUM(E217:G217)&gt;0),"Новый",AND(SUM(B217:D217)&gt;0,SUM(E217:G217)&gt;0),"Действующий",AND(SUM(B217:D217)&gt;0,SUM(E217:G217)=0),"Спящий",AND(SUM(B217:G217)=0),"Ушедший")</f>
        <v>Спящий</v>
      </c>
      <c r="I217" s="3">
        <f>IF(AND(SUM(B217:D217)=0,SUM(E217:G217)&gt;0),1,0)</f>
        <v>0</v>
      </c>
      <c r="J217" s="3">
        <f t="shared" si="10"/>
        <v>0</v>
      </c>
      <c r="K217" s="3">
        <f t="shared" si="11"/>
        <v>1</v>
      </c>
      <c r="L217" s="3">
        <f t="shared" si="12"/>
        <v>0</v>
      </c>
      <c r="M217" s="3" t="str" cm="1">
        <f t="array" ref="M217">_xlfn.IFS(I217=1,$I$11,J217=1,$J$11,K217=1,$K$11,L217=1,$L$11)</f>
        <v>Спящий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3">
      <c r="A218" s="6" t="s">
        <v>487</v>
      </c>
      <c r="B218" s="6"/>
      <c r="C218" s="6"/>
      <c r="D218" s="6"/>
      <c r="E218" s="6">
        <v>1</v>
      </c>
      <c r="F218" s="6"/>
      <c r="G218" s="6"/>
      <c r="H218" s="9" t="str" cm="1">
        <f t="array" ref="H218">_xlfn.IFS(AND(SUM(B218:D218)=0,SUM(E218:G218)&gt;0),"Новый",AND(SUM(B218:D218)&gt;0,SUM(E218:G218)&gt;0),"Действующий",AND(SUM(B218:D218)&gt;0,SUM(E218:G218)=0),"Спящий",AND(SUM(B218:G218)=0),"Ушедший")</f>
        <v>Новый</v>
      </c>
      <c r="I218" s="3">
        <f>IF(AND(SUM(B218:D218)=0,SUM(E218:G218)&gt;0),1,0)</f>
        <v>1</v>
      </c>
      <c r="J218" s="3">
        <f t="shared" si="10"/>
        <v>0</v>
      </c>
      <c r="K218" s="3">
        <f t="shared" si="11"/>
        <v>0</v>
      </c>
      <c r="L218" s="3">
        <f t="shared" si="12"/>
        <v>0</v>
      </c>
      <c r="M218" s="3" t="str" cm="1">
        <f t="array" ref="M218">_xlfn.IFS(I218=1,$I$11,J218=1,$J$11,K218=1,$K$11,L218=1,$L$11)</f>
        <v>Новый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 x14ac:dyDescent="0.3">
      <c r="A219" s="6" t="s">
        <v>488</v>
      </c>
      <c r="B219" s="6"/>
      <c r="C219" s="6"/>
      <c r="D219" s="6"/>
      <c r="E219" s="6"/>
      <c r="F219" s="6"/>
      <c r="G219" s="6">
        <v>1</v>
      </c>
      <c r="H219" s="9" t="str" cm="1">
        <f t="array" ref="H219">_xlfn.IFS(AND(SUM(B219:D219)=0,SUM(E219:G219)&gt;0),"Новый",AND(SUM(B219:D219)&gt;0,SUM(E219:G219)&gt;0),"Действующий",AND(SUM(B219:D219)&gt;0,SUM(E219:G219)=0),"Спящий",AND(SUM(B219:G219)=0),"Ушедший")</f>
        <v>Новый</v>
      </c>
      <c r="I219" s="3">
        <f>IF(AND(SUM(B219:D219)=0,SUM(E219:G219)&gt;0),1,0)</f>
        <v>1</v>
      </c>
      <c r="J219" s="3">
        <f t="shared" si="10"/>
        <v>0</v>
      </c>
      <c r="K219" s="3">
        <f t="shared" si="11"/>
        <v>0</v>
      </c>
      <c r="L219" s="3">
        <f t="shared" si="12"/>
        <v>0</v>
      </c>
      <c r="M219" s="3" t="str" cm="1">
        <f t="array" ref="M219">_xlfn.IFS(I219=1,$I$11,J219=1,$J$11,K219=1,$K$11,L219=1,$L$11)</f>
        <v>Новый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3">
      <c r="A220" s="6" t="s">
        <v>489</v>
      </c>
      <c r="B220" s="6"/>
      <c r="C220" s="6">
        <v>1</v>
      </c>
      <c r="D220" s="6"/>
      <c r="E220" s="6"/>
      <c r="F220" s="6">
        <v>2</v>
      </c>
      <c r="G220" s="6"/>
      <c r="H220" s="9" t="str" cm="1">
        <f t="array" ref="H220">_xlfn.IFS(AND(SUM(B220:D220)=0,SUM(E220:G220)&gt;0),"Новый",AND(SUM(B220:D220)&gt;0,SUM(E220:G220)&gt;0),"Действующий",AND(SUM(B220:D220)&gt;0,SUM(E220:G220)=0),"Спящий",AND(SUM(B220:G220)=0),"Ушедший")</f>
        <v>Действующий</v>
      </c>
      <c r="I220" s="3">
        <f>IF(AND(SUM(B220:D220)=0,SUM(E220:G220)&gt;0),1,0)</f>
        <v>0</v>
      </c>
      <c r="J220" s="3">
        <f t="shared" si="10"/>
        <v>1</v>
      </c>
      <c r="K220" s="3">
        <f t="shared" si="11"/>
        <v>0</v>
      </c>
      <c r="L220" s="3">
        <f t="shared" si="12"/>
        <v>0</v>
      </c>
      <c r="M220" s="3" t="str" cm="1">
        <f t="array" ref="M220">_xlfn.IFS(I220=1,$I$11,J220=1,$J$11,K220=1,$K$11,L220=1,$L$11)</f>
        <v>Действующий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 x14ac:dyDescent="0.3">
      <c r="A221" s="6" t="s">
        <v>490</v>
      </c>
      <c r="B221" s="6"/>
      <c r="C221" s="6"/>
      <c r="D221" s="6">
        <v>1</v>
      </c>
      <c r="E221" s="6"/>
      <c r="F221" s="6"/>
      <c r="G221" s="6"/>
      <c r="H221" s="9" t="str" cm="1">
        <f t="array" ref="H221">_xlfn.IFS(AND(SUM(B221:D221)=0,SUM(E221:G221)&gt;0),"Новый",AND(SUM(B221:D221)&gt;0,SUM(E221:G221)&gt;0),"Действующий",AND(SUM(B221:D221)&gt;0,SUM(E221:G221)=0),"Спящий",AND(SUM(B221:G221)=0),"Ушедший")</f>
        <v>Спящий</v>
      </c>
      <c r="I221" s="3">
        <f>IF(AND(SUM(B221:D221)=0,SUM(E221:G221)&gt;0),1,0)</f>
        <v>0</v>
      </c>
      <c r="J221" s="3">
        <f t="shared" si="10"/>
        <v>0</v>
      </c>
      <c r="K221" s="3">
        <f t="shared" si="11"/>
        <v>1</v>
      </c>
      <c r="L221" s="3">
        <f t="shared" si="12"/>
        <v>0</v>
      </c>
      <c r="M221" s="3" t="str" cm="1">
        <f t="array" ref="M221">_xlfn.IFS(I221=1,$I$11,J221=1,$J$11,K221=1,$K$11,L221=1,$L$11)</f>
        <v>Спящий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 x14ac:dyDescent="0.3">
      <c r="A222" s="6" t="s">
        <v>491</v>
      </c>
      <c r="B222" s="6"/>
      <c r="C222" s="6"/>
      <c r="D222" s="6"/>
      <c r="E222" s="6"/>
      <c r="F222" s="6"/>
      <c r="G222" s="6">
        <v>1</v>
      </c>
      <c r="H222" s="9" t="str" cm="1">
        <f t="array" ref="H222">_xlfn.IFS(AND(SUM(B222:D222)=0,SUM(E222:G222)&gt;0),"Новый",AND(SUM(B222:D222)&gt;0,SUM(E222:G222)&gt;0),"Действующий",AND(SUM(B222:D222)&gt;0,SUM(E222:G222)=0),"Спящий",AND(SUM(B222:G222)=0),"Ушедший")</f>
        <v>Новый</v>
      </c>
      <c r="I222" s="3">
        <f>IF(AND(SUM(B222:D222)=0,SUM(E222:G222)&gt;0),1,0)</f>
        <v>1</v>
      </c>
      <c r="J222" s="3">
        <f t="shared" si="10"/>
        <v>0</v>
      </c>
      <c r="K222" s="3">
        <f t="shared" si="11"/>
        <v>0</v>
      </c>
      <c r="L222" s="3">
        <f t="shared" si="12"/>
        <v>0</v>
      </c>
      <c r="M222" s="3" t="str" cm="1">
        <f t="array" ref="M222">_xlfn.IFS(I222=1,$I$11,J222=1,$J$11,K222=1,$K$11,L222=1,$L$11)</f>
        <v>Новый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 x14ac:dyDescent="0.3">
      <c r="A223" s="6" t="s">
        <v>492</v>
      </c>
      <c r="B223" s="6"/>
      <c r="C223" s="6">
        <v>1</v>
      </c>
      <c r="D223" s="6"/>
      <c r="E223" s="6">
        <v>1</v>
      </c>
      <c r="F223" s="6"/>
      <c r="G223" s="6"/>
      <c r="H223" s="9" t="str" cm="1">
        <f t="array" ref="H223">_xlfn.IFS(AND(SUM(B223:D223)=0,SUM(E223:G223)&gt;0),"Новый",AND(SUM(B223:D223)&gt;0,SUM(E223:G223)&gt;0),"Действующий",AND(SUM(B223:D223)&gt;0,SUM(E223:G223)=0),"Спящий",AND(SUM(B223:G223)=0),"Ушедший")</f>
        <v>Действующий</v>
      </c>
      <c r="I223" s="3">
        <f>IF(AND(SUM(B223:D223)=0,SUM(E223:G223)&gt;0),1,0)</f>
        <v>0</v>
      </c>
      <c r="J223" s="3">
        <f t="shared" si="10"/>
        <v>1</v>
      </c>
      <c r="K223" s="3">
        <f t="shared" si="11"/>
        <v>0</v>
      </c>
      <c r="L223" s="3">
        <f t="shared" si="12"/>
        <v>0</v>
      </c>
      <c r="M223" s="3" t="str" cm="1">
        <f t="array" ref="M223">_xlfn.IFS(I223=1,$I$11,J223=1,$J$11,K223=1,$K$11,L223=1,$L$11)</f>
        <v>Действующий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 x14ac:dyDescent="0.3">
      <c r="A224" s="6" t="s">
        <v>493</v>
      </c>
      <c r="B224" s="6"/>
      <c r="C224" s="6">
        <v>1</v>
      </c>
      <c r="D224" s="6"/>
      <c r="E224" s="6"/>
      <c r="F224" s="6"/>
      <c r="G224" s="6"/>
      <c r="H224" s="9" t="str" cm="1">
        <f t="array" ref="H224">_xlfn.IFS(AND(SUM(B224:D224)=0,SUM(E224:G224)&gt;0),"Новый",AND(SUM(B224:D224)&gt;0,SUM(E224:G224)&gt;0),"Действующий",AND(SUM(B224:D224)&gt;0,SUM(E224:G224)=0),"Спящий",AND(SUM(B224:G224)=0),"Ушедший")</f>
        <v>Спящий</v>
      </c>
      <c r="I224" s="3">
        <f>IF(AND(SUM(B224:D224)=0,SUM(E224:G224)&gt;0),1,0)</f>
        <v>0</v>
      </c>
      <c r="J224" s="3">
        <f t="shared" si="10"/>
        <v>0</v>
      </c>
      <c r="K224" s="3">
        <f t="shared" si="11"/>
        <v>1</v>
      </c>
      <c r="L224" s="3">
        <f t="shared" si="12"/>
        <v>0</v>
      </c>
      <c r="M224" s="3" t="str" cm="1">
        <f t="array" ref="M224">_xlfn.IFS(I224=1,$I$11,J224=1,$J$11,K224=1,$K$11,L224=1,$L$11)</f>
        <v>Спящий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 x14ac:dyDescent="0.3">
      <c r="A225" s="6" t="s">
        <v>494</v>
      </c>
      <c r="B225" s="6">
        <v>1</v>
      </c>
      <c r="C225" s="6"/>
      <c r="D225" s="6"/>
      <c r="E225" s="6">
        <v>1</v>
      </c>
      <c r="F225" s="6"/>
      <c r="G225" s="6"/>
      <c r="H225" s="9" t="str" cm="1">
        <f t="array" ref="H225">_xlfn.IFS(AND(SUM(B225:D225)=0,SUM(E225:G225)&gt;0),"Новый",AND(SUM(B225:D225)&gt;0,SUM(E225:G225)&gt;0),"Действующий",AND(SUM(B225:D225)&gt;0,SUM(E225:G225)=0),"Спящий",AND(SUM(B225:G225)=0),"Ушедший")</f>
        <v>Действующий</v>
      </c>
      <c r="I225" s="3">
        <f>IF(AND(SUM(B225:D225)=0,SUM(E225:G225)&gt;0),1,0)</f>
        <v>0</v>
      </c>
      <c r="J225" s="3">
        <f t="shared" si="10"/>
        <v>1</v>
      </c>
      <c r="K225" s="3">
        <f t="shared" si="11"/>
        <v>0</v>
      </c>
      <c r="L225" s="3">
        <f t="shared" si="12"/>
        <v>0</v>
      </c>
      <c r="M225" s="3" t="str" cm="1">
        <f t="array" ref="M225">_xlfn.IFS(I225=1,$I$11,J225=1,$J$11,K225=1,$K$11,L225=1,$L$11)</f>
        <v>Действующий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 x14ac:dyDescent="0.3">
      <c r="A226" s="6" t="s">
        <v>495</v>
      </c>
      <c r="B226" s="6"/>
      <c r="C226" s="6"/>
      <c r="D226" s="6"/>
      <c r="E226" s="6"/>
      <c r="F226" s="6">
        <v>1</v>
      </c>
      <c r="G226" s="6"/>
      <c r="H226" s="9" t="str" cm="1">
        <f t="array" ref="H226">_xlfn.IFS(AND(SUM(B226:D226)=0,SUM(E226:G226)&gt;0),"Новый",AND(SUM(B226:D226)&gt;0,SUM(E226:G226)&gt;0),"Действующий",AND(SUM(B226:D226)&gt;0,SUM(E226:G226)=0),"Спящий",AND(SUM(B226:G226)=0),"Ушедший")</f>
        <v>Новый</v>
      </c>
      <c r="I226" s="3">
        <f>IF(AND(SUM(B226:D226)=0,SUM(E226:G226)&gt;0),1,0)</f>
        <v>1</v>
      </c>
      <c r="J226" s="3">
        <f t="shared" si="10"/>
        <v>0</v>
      </c>
      <c r="K226" s="3">
        <f t="shared" si="11"/>
        <v>0</v>
      </c>
      <c r="L226" s="3">
        <f t="shared" si="12"/>
        <v>0</v>
      </c>
      <c r="M226" s="3" t="str" cm="1">
        <f t="array" ref="M226">_xlfn.IFS(I226=1,$I$11,J226=1,$J$11,K226=1,$K$11,L226=1,$L$11)</f>
        <v>Новый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 x14ac:dyDescent="0.3">
      <c r="A227" s="6" t="s">
        <v>496</v>
      </c>
      <c r="B227" s="6">
        <v>2</v>
      </c>
      <c r="C227" s="6"/>
      <c r="D227" s="6">
        <v>4</v>
      </c>
      <c r="E227" s="6">
        <v>2</v>
      </c>
      <c r="F227" s="6">
        <v>3</v>
      </c>
      <c r="G227" s="6">
        <v>2</v>
      </c>
      <c r="H227" s="9" t="str" cm="1">
        <f t="array" ref="H227">_xlfn.IFS(AND(SUM(B227:D227)=0,SUM(E227:G227)&gt;0),"Новый",AND(SUM(B227:D227)&gt;0,SUM(E227:G227)&gt;0),"Действующий",AND(SUM(B227:D227)&gt;0,SUM(E227:G227)=0),"Спящий",AND(SUM(B227:G227)=0),"Ушедший")</f>
        <v>Действующий</v>
      </c>
      <c r="I227" s="3">
        <f>IF(AND(SUM(B227:D227)=0,SUM(E227:G227)&gt;0),1,0)</f>
        <v>0</v>
      </c>
      <c r="J227" s="3">
        <f t="shared" si="10"/>
        <v>1</v>
      </c>
      <c r="K227" s="3">
        <f t="shared" si="11"/>
        <v>0</v>
      </c>
      <c r="L227" s="3">
        <f t="shared" si="12"/>
        <v>0</v>
      </c>
      <c r="M227" s="3" t="str" cm="1">
        <f t="array" ref="M227">_xlfn.IFS(I227=1,$I$11,J227=1,$J$11,K227=1,$K$11,L227=1,$L$11)</f>
        <v>Действующий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 x14ac:dyDescent="0.3">
      <c r="A228" s="6" t="s">
        <v>497</v>
      </c>
      <c r="B228" s="6"/>
      <c r="C228" s="6"/>
      <c r="D228" s="6"/>
      <c r="E228" s="6"/>
      <c r="F228" s="6"/>
      <c r="G228" s="6">
        <v>1</v>
      </c>
      <c r="H228" s="9" t="str" cm="1">
        <f t="array" ref="H228">_xlfn.IFS(AND(SUM(B228:D228)=0,SUM(E228:G228)&gt;0),"Новый",AND(SUM(B228:D228)&gt;0,SUM(E228:G228)&gt;0),"Действующий",AND(SUM(B228:D228)&gt;0,SUM(E228:G228)=0),"Спящий",AND(SUM(B228:G228)=0),"Ушедший")</f>
        <v>Новый</v>
      </c>
      <c r="I228" s="3">
        <f>IF(AND(SUM(B228:D228)=0,SUM(E228:G228)&gt;0),1,0)</f>
        <v>1</v>
      </c>
      <c r="J228" s="3">
        <f t="shared" si="10"/>
        <v>0</v>
      </c>
      <c r="K228" s="3">
        <f t="shared" si="11"/>
        <v>0</v>
      </c>
      <c r="L228" s="3">
        <f t="shared" si="12"/>
        <v>0</v>
      </c>
      <c r="M228" s="3" t="str" cm="1">
        <f t="array" ref="M228">_xlfn.IFS(I228=1,$I$11,J228=1,$J$11,K228=1,$K$11,L228=1,$L$11)</f>
        <v>Новый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 x14ac:dyDescent="0.3">
      <c r="A229" s="6" t="s">
        <v>498</v>
      </c>
      <c r="B229" s="6">
        <v>1</v>
      </c>
      <c r="C229" s="6"/>
      <c r="D229" s="6"/>
      <c r="E229" s="6"/>
      <c r="F229" s="6"/>
      <c r="G229" s="6"/>
      <c r="H229" s="9" t="str" cm="1">
        <f t="array" ref="H229">_xlfn.IFS(AND(SUM(B229:D229)=0,SUM(E229:G229)&gt;0),"Новый",AND(SUM(B229:D229)&gt;0,SUM(E229:G229)&gt;0),"Действующий",AND(SUM(B229:D229)&gt;0,SUM(E229:G229)=0),"Спящий",AND(SUM(B229:G229)=0),"Ушедший")</f>
        <v>Спящий</v>
      </c>
      <c r="I229" s="3">
        <f>IF(AND(SUM(B229:D229)=0,SUM(E229:G229)&gt;0),1,0)</f>
        <v>0</v>
      </c>
      <c r="J229" s="3">
        <f t="shared" si="10"/>
        <v>0</v>
      </c>
      <c r="K229" s="3">
        <f t="shared" si="11"/>
        <v>1</v>
      </c>
      <c r="L229" s="3">
        <f t="shared" si="12"/>
        <v>0</v>
      </c>
      <c r="M229" s="3" t="str" cm="1">
        <f t="array" ref="M229">_xlfn.IFS(I229=1,$I$11,J229=1,$J$11,K229=1,$K$11,L229=1,$L$11)</f>
        <v>Спящий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 x14ac:dyDescent="0.3">
      <c r="A230" s="6" t="s">
        <v>499</v>
      </c>
      <c r="B230" s="6"/>
      <c r="C230" s="6">
        <v>1</v>
      </c>
      <c r="D230" s="6"/>
      <c r="E230" s="6"/>
      <c r="F230" s="6"/>
      <c r="G230" s="6"/>
      <c r="H230" s="9" t="str" cm="1">
        <f t="array" ref="H230">_xlfn.IFS(AND(SUM(B230:D230)=0,SUM(E230:G230)&gt;0),"Новый",AND(SUM(B230:D230)&gt;0,SUM(E230:G230)&gt;0),"Действующий",AND(SUM(B230:D230)&gt;0,SUM(E230:G230)=0),"Спящий",AND(SUM(B230:G230)=0),"Ушедший")</f>
        <v>Спящий</v>
      </c>
      <c r="I230" s="3">
        <f>IF(AND(SUM(B230:D230)=0,SUM(E230:G230)&gt;0),1,0)</f>
        <v>0</v>
      </c>
      <c r="J230" s="3">
        <f t="shared" si="10"/>
        <v>0</v>
      </c>
      <c r="K230" s="3">
        <f t="shared" si="11"/>
        <v>1</v>
      </c>
      <c r="L230" s="3">
        <f t="shared" si="12"/>
        <v>0</v>
      </c>
      <c r="M230" s="3" t="str" cm="1">
        <f t="array" ref="M230">_xlfn.IFS(I230=1,$I$11,J230=1,$J$11,K230=1,$K$11,L230=1,$L$11)</f>
        <v>Спящий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 x14ac:dyDescent="0.3">
      <c r="A231" s="6" t="s">
        <v>500</v>
      </c>
      <c r="B231" s="6">
        <v>1</v>
      </c>
      <c r="C231" s="6">
        <v>2</v>
      </c>
      <c r="D231" s="6">
        <v>1</v>
      </c>
      <c r="E231" s="6"/>
      <c r="F231" s="6">
        <v>1</v>
      </c>
      <c r="G231" s="6">
        <v>2</v>
      </c>
      <c r="H231" s="9" t="str" cm="1">
        <f t="array" ref="H231">_xlfn.IFS(AND(SUM(B231:D231)=0,SUM(E231:G231)&gt;0),"Новый",AND(SUM(B231:D231)&gt;0,SUM(E231:G231)&gt;0),"Действующий",AND(SUM(B231:D231)&gt;0,SUM(E231:G231)=0),"Спящий",AND(SUM(B231:G231)=0),"Ушедший")</f>
        <v>Действующий</v>
      </c>
      <c r="I231" s="3">
        <f>IF(AND(SUM(B231:D231)=0,SUM(E231:G231)&gt;0),1,0)</f>
        <v>0</v>
      </c>
      <c r="J231" s="3">
        <f t="shared" si="10"/>
        <v>1</v>
      </c>
      <c r="K231" s="3">
        <f t="shared" si="11"/>
        <v>0</v>
      </c>
      <c r="L231" s="3">
        <f t="shared" si="12"/>
        <v>0</v>
      </c>
      <c r="M231" s="3" t="str" cm="1">
        <f t="array" ref="M231">_xlfn.IFS(I231=1,$I$11,J231=1,$J$11,K231=1,$K$11,L231=1,$L$11)</f>
        <v>Действующий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 x14ac:dyDescent="0.3">
      <c r="A232" s="6" t="s">
        <v>501</v>
      </c>
      <c r="B232" s="6"/>
      <c r="C232" s="6"/>
      <c r="D232" s="6">
        <v>1</v>
      </c>
      <c r="E232" s="6"/>
      <c r="F232" s="6"/>
      <c r="G232" s="6"/>
      <c r="H232" s="9" t="str" cm="1">
        <f t="array" ref="H232">_xlfn.IFS(AND(SUM(B232:D232)=0,SUM(E232:G232)&gt;0),"Новый",AND(SUM(B232:D232)&gt;0,SUM(E232:G232)&gt;0),"Действующий",AND(SUM(B232:D232)&gt;0,SUM(E232:G232)=0),"Спящий",AND(SUM(B232:G232)=0),"Ушедший")</f>
        <v>Спящий</v>
      </c>
      <c r="I232" s="3">
        <f>IF(AND(SUM(B232:D232)=0,SUM(E232:G232)&gt;0),1,0)</f>
        <v>0</v>
      </c>
      <c r="J232" s="3">
        <f t="shared" si="10"/>
        <v>0</v>
      </c>
      <c r="K232" s="3">
        <f t="shared" si="11"/>
        <v>1</v>
      </c>
      <c r="L232" s="3">
        <f t="shared" si="12"/>
        <v>0</v>
      </c>
      <c r="M232" s="3" t="str" cm="1">
        <f t="array" ref="M232">_xlfn.IFS(I232=1,$I$11,J232=1,$J$11,K232=1,$K$11,L232=1,$L$11)</f>
        <v>Спящий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 x14ac:dyDescent="0.3">
      <c r="A233" s="6" t="s">
        <v>502</v>
      </c>
      <c r="B233" s="6"/>
      <c r="C233" s="6"/>
      <c r="D233" s="6"/>
      <c r="E233" s="6"/>
      <c r="F233" s="6">
        <v>1</v>
      </c>
      <c r="G233" s="6"/>
      <c r="H233" s="9" t="str" cm="1">
        <f t="array" ref="H233">_xlfn.IFS(AND(SUM(B233:D233)=0,SUM(E233:G233)&gt;0),"Новый",AND(SUM(B233:D233)&gt;0,SUM(E233:G233)&gt;0),"Действующий",AND(SUM(B233:D233)&gt;0,SUM(E233:G233)=0),"Спящий",AND(SUM(B233:G233)=0),"Ушедший")</f>
        <v>Новый</v>
      </c>
      <c r="I233" s="3">
        <f>IF(AND(SUM(B233:D233)=0,SUM(E233:G233)&gt;0),1,0)</f>
        <v>1</v>
      </c>
      <c r="J233" s="3">
        <f t="shared" si="10"/>
        <v>0</v>
      </c>
      <c r="K233" s="3">
        <f t="shared" si="11"/>
        <v>0</v>
      </c>
      <c r="L233" s="3">
        <f t="shared" si="12"/>
        <v>0</v>
      </c>
      <c r="M233" s="3" t="str" cm="1">
        <f t="array" ref="M233">_xlfn.IFS(I233=1,$I$11,J233=1,$J$11,K233=1,$K$11,L233=1,$L$11)</f>
        <v>Новый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 x14ac:dyDescent="0.3">
      <c r="A234" s="6" t="s">
        <v>503</v>
      </c>
      <c r="B234" s="6"/>
      <c r="C234" s="6">
        <v>1</v>
      </c>
      <c r="D234" s="6"/>
      <c r="E234" s="6">
        <v>2</v>
      </c>
      <c r="F234" s="6"/>
      <c r="G234" s="6"/>
      <c r="H234" s="9" t="str" cm="1">
        <f t="array" ref="H234">_xlfn.IFS(AND(SUM(B234:D234)=0,SUM(E234:G234)&gt;0),"Новый",AND(SUM(B234:D234)&gt;0,SUM(E234:G234)&gt;0),"Действующий",AND(SUM(B234:D234)&gt;0,SUM(E234:G234)=0),"Спящий",AND(SUM(B234:G234)=0),"Ушедший")</f>
        <v>Действующий</v>
      </c>
      <c r="I234" s="3">
        <f>IF(AND(SUM(B234:D234)=0,SUM(E234:G234)&gt;0),1,0)</f>
        <v>0</v>
      </c>
      <c r="J234" s="3">
        <f t="shared" si="10"/>
        <v>1</v>
      </c>
      <c r="K234" s="3">
        <f t="shared" si="11"/>
        <v>0</v>
      </c>
      <c r="L234" s="3">
        <f t="shared" si="12"/>
        <v>0</v>
      </c>
      <c r="M234" s="3" t="str" cm="1">
        <f t="array" ref="M234">_xlfn.IFS(I234=1,$I$11,J234=1,$J$11,K234=1,$K$11,L234=1,$L$11)</f>
        <v>Действующий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 x14ac:dyDescent="0.3">
      <c r="A235" s="6" t="s">
        <v>504</v>
      </c>
      <c r="B235" s="6"/>
      <c r="C235" s="6"/>
      <c r="D235" s="6">
        <v>2</v>
      </c>
      <c r="E235" s="6">
        <v>3</v>
      </c>
      <c r="F235" s="6"/>
      <c r="G235" s="6"/>
      <c r="H235" s="9" t="str" cm="1">
        <f t="array" ref="H235">_xlfn.IFS(AND(SUM(B235:D235)=0,SUM(E235:G235)&gt;0),"Новый",AND(SUM(B235:D235)&gt;0,SUM(E235:G235)&gt;0),"Действующий",AND(SUM(B235:D235)&gt;0,SUM(E235:G235)=0),"Спящий",AND(SUM(B235:G235)=0),"Ушедший")</f>
        <v>Действующий</v>
      </c>
      <c r="I235" s="3">
        <f>IF(AND(SUM(B235:D235)=0,SUM(E235:G235)&gt;0),1,0)</f>
        <v>0</v>
      </c>
      <c r="J235" s="3">
        <f t="shared" si="10"/>
        <v>1</v>
      </c>
      <c r="K235" s="3">
        <f t="shared" si="11"/>
        <v>0</v>
      </c>
      <c r="L235" s="3">
        <f t="shared" si="12"/>
        <v>0</v>
      </c>
      <c r="M235" s="3" t="str" cm="1">
        <f t="array" ref="M235">_xlfn.IFS(I235=1,$I$11,J235=1,$J$11,K235=1,$K$11,L235=1,$L$11)</f>
        <v>Действующий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 x14ac:dyDescent="0.3">
      <c r="A236" s="6" t="s">
        <v>505</v>
      </c>
      <c r="B236" s="6"/>
      <c r="C236" s="6"/>
      <c r="D236" s="6"/>
      <c r="E236" s="6"/>
      <c r="F236" s="6">
        <v>1</v>
      </c>
      <c r="G236" s="6"/>
      <c r="H236" s="9" t="str" cm="1">
        <f t="array" ref="H236">_xlfn.IFS(AND(SUM(B236:D236)=0,SUM(E236:G236)&gt;0),"Новый",AND(SUM(B236:D236)&gt;0,SUM(E236:G236)&gt;0),"Действующий",AND(SUM(B236:D236)&gt;0,SUM(E236:G236)=0),"Спящий",AND(SUM(B236:G236)=0),"Ушедший")</f>
        <v>Новый</v>
      </c>
      <c r="I236" s="3">
        <f>IF(AND(SUM(B236:D236)=0,SUM(E236:G236)&gt;0),1,0)</f>
        <v>1</v>
      </c>
      <c r="J236" s="3">
        <f t="shared" si="10"/>
        <v>0</v>
      </c>
      <c r="K236" s="3">
        <f t="shared" si="11"/>
        <v>0</v>
      </c>
      <c r="L236" s="3">
        <f t="shared" si="12"/>
        <v>0</v>
      </c>
      <c r="M236" s="3" t="str" cm="1">
        <f t="array" ref="M236">_xlfn.IFS(I236=1,$I$11,J236=1,$J$11,K236=1,$K$11,L236=1,$L$11)</f>
        <v>Новый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 x14ac:dyDescent="0.3">
      <c r="A237" s="6" t="s">
        <v>506</v>
      </c>
      <c r="B237" s="6">
        <v>2</v>
      </c>
      <c r="C237" s="6">
        <v>2</v>
      </c>
      <c r="D237" s="6"/>
      <c r="E237" s="6">
        <v>1</v>
      </c>
      <c r="F237" s="6">
        <v>2</v>
      </c>
      <c r="G237" s="6">
        <v>1</v>
      </c>
      <c r="H237" s="9" t="str" cm="1">
        <f t="array" ref="H237">_xlfn.IFS(AND(SUM(B237:D237)=0,SUM(E237:G237)&gt;0),"Новый",AND(SUM(B237:D237)&gt;0,SUM(E237:G237)&gt;0),"Действующий",AND(SUM(B237:D237)&gt;0,SUM(E237:G237)=0),"Спящий",AND(SUM(B237:G237)=0),"Ушедший")</f>
        <v>Действующий</v>
      </c>
      <c r="I237" s="3">
        <f>IF(AND(SUM(B237:D237)=0,SUM(E237:G237)&gt;0),1,0)</f>
        <v>0</v>
      </c>
      <c r="J237" s="3">
        <f t="shared" si="10"/>
        <v>1</v>
      </c>
      <c r="K237" s="3">
        <f t="shared" si="11"/>
        <v>0</v>
      </c>
      <c r="L237" s="3">
        <f t="shared" si="12"/>
        <v>0</v>
      </c>
      <c r="M237" s="3" t="str" cm="1">
        <f t="array" ref="M237">_xlfn.IFS(I237=1,$I$11,J237=1,$J$11,K237=1,$K$11,L237=1,$L$11)</f>
        <v>Действующий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 x14ac:dyDescent="0.3">
      <c r="A238" s="6" t="s">
        <v>507</v>
      </c>
      <c r="B238" s="6"/>
      <c r="C238" s="6"/>
      <c r="D238" s="6"/>
      <c r="E238" s="6">
        <v>1</v>
      </c>
      <c r="F238" s="6"/>
      <c r="G238" s="6"/>
      <c r="H238" s="9" t="str" cm="1">
        <f t="array" ref="H238">_xlfn.IFS(AND(SUM(B238:D238)=0,SUM(E238:G238)&gt;0),"Новый",AND(SUM(B238:D238)&gt;0,SUM(E238:G238)&gt;0),"Действующий",AND(SUM(B238:D238)&gt;0,SUM(E238:G238)=0),"Спящий",AND(SUM(B238:G238)=0),"Ушедший")</f>
        <v>Новый</v>
      </c>
      <c r="I238" s="3">
        <f>IF(AND(SUM(B238:D238)=0,SUM(E238:G238)&gt;0),1,0)</f>
        <v>1</v>
      </c>
      <c r="J238" s="3">
        <f t="shared" si="10"/>
        <v>0</v>
      </c>
      <c r="K238" s="3">
        <f t="shared" si="11"/>
        <v>0</v>
      </c>
      <c r="L238" s="3">
        <f t="shared" si="12"/>
        <v>0</v>
      </c>
      <c r="M238" s="3" t="str" cm="1">
        <f t="array" ref="M238">_xlfn.IFS(I238=1,$I$11,J238=1,$J$11,K238=1,$K$11,L238=1,$L$11)</f>
        <v>Новый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 x14ac:dyDescent="0.3">
      <c r="A239" s="6" t="s">
        <v>508</v>
      </c>
      <c r="B239" s="6"/>
      <c r="C239" s="6"/>
      <c r="D239" s="6">
        <v>1</v>
      </c>
      <c r="E239" s="6"/>
      <c r="F239" s="6">
        <v>2</v>
      </c>
      <c r="G239" s="6">
        <v>2</v>
      </c>
      <c r="H239" s="9" t="str" cm="1">
        <f t="array" ref="H239">_xlfn.IFS(AND(SUM(B239:D239)=0,SUM(E239:G239)&gt;0),"Новый",AND(SUM(B239:D239)&gt;0,SUM(E239:G239)&gt;0),"Действующий",AND(SUM(B239:D239)&gt;0,SUM(E239:G239)=0),"Спящий",AND(SUM(B239:G239)=0),"Ушедший")</f>
        <v>Действующий</v>
      </c>
      <c r="I239" s="3">
        <f>IF(AND(SUM(B239:D239)=0,SUM(E239:G239)&gt;0),1,0)</f>
        <v>0</v>
      </c>
      <c r="J239" s="3">
        <f t="shared" si="10"/>
        <v>1</v>
      </c>
      <c r="K239" s="3">
        <f t="shared" si="11"/>
        <v>0</v>
      </c>
      <c r="L239" s="3">
        <f t="shared" si="12"/>
        <v>0</v>
      </c>
      <c r="M239" s="3" t="str" cm="1">
        <f t="array" ref="M239">_xlfn.IFS(I239=1,$I$11,J239=1,$J$11,K239=1,$K$11,L239=1,$L$11)</f>
        <v>Действующий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 x14ac:dyDescent="0.3">
      <c r="A240" s="6" t="s">
        <v>509</v>
      </c>
      <c r="B240" s="6"/>
      <c r="C240" s="6"/>
      <c r="D240" s="6"/>
      <c r="E240" s="6">
        <v>1</v>
      </c>
      <c r="F240" s="6"/>
      <c r="G240" s="6"/>
      <c r="H240" s="9" t="str" cm="1">
        <f t="array" ref="H240">_xlfn.IFS(AND(SUM(B240:D240)=0,SUM(E240:G240)&gt;0),"Новый",AND(SUM(B240:D240)&gt;0,SUM(E240:G240)&gt;0),"Действующий",AND(SUM(B240:D240)&gt;0,SUM(E240:G240)=0),"Спящий",AND(SUM(B240:G240)=0),"Ушедший")</f>
        <v>Новый</v>
      </c>
      <c r="I240" s="3">
        <f>IF(AND(SUM(B240:D240)=0,SUM(E240:G240)&gt;0),1,0)</f>
        <v>1</v>
      </c>
      <c r="J240" s="3">
        <f t="shared" si="10"/>
        <v>0</v>
      </c>
      <c r="K240" s="3">
        <f t="shared" si="11"/>
        <v>0</v>
      </c>
      <c r="L240" s="3">
        <f t="shared" si="12"/>
        <v>0</v>
      </c>
      <c r="M240" s="3" t="str" cm="1">
        <f t="array" ref="M240">_xlfn.IFS(I240=1,$I$11,J240=1,$J$11,K240=1,$K$11,L240=1,$L$11)</f>
        <v>Новый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 x14ac:dyDescent="0.3">
      <c r="A241" s="6" t="s">
        <v>510</v>
      </c>
      <c r="B241" s="6"/>
      <c r="C241" s="6">
        <v>1</v>
      </c>
      <c r="D241" s="6"/>
      <c r="E241" s="6"/>
      <c r="F241" s="6"/>
      <c r="G241" s="6"/>
      <c r="H241" s="9" t="str" cm="1">
        <f t="array" ref="H241">_xlfn.IFS(AND(SUM(B241:D241)=0,SUM(E241:G241)&gt;0),"Новый",AND(SUM(B241:D241)&gt;0,SUM(E241:G241)&gt;0),"Действующий",AND(SUM(B241:D241)&gt;0,SUM(E241:G241)=0),"Спящий",AND(SUM(B241:G241)=0),"Ушедший")</f>
        <v>Спящий</v>
      </c>
      <c r="I241" s="3">
        <f>IF(AND(SUM(B241:D241)=0,SUM(E241:G241)&gt;0),1,0)</f>
        <v>0</v>
      </c>
      <c r="J241" s="3">
        <f t="shared" si="10"/>
        <v>0</v>
      </c>
      <c r="K241" s="3">
        <f t="shared" si="11"/>
        <v>1</v>
      </c>
      <c r="L241" s="3">
        <f t="shared" si="12"/>
        <v>0</v>
      </c>
      <c r="M241" s="3" t="str" cm="1">
        <f t="array" ref="M241">_xlfn.IFS(I241=1,$I$11,J241=1,$J$11,K241=1,$K$11,L241=1,$L$11)</f>
        <v>Спящий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 x14ac:dyDescent="0.3">
      <c r="A242" s="6" t="s">
        <v>511</v>
      </c>
      <c r="B242" s="6"/>
      <c r="C242" s="6"/>
      <c r="D242" s="6">
        <v>1</v>
      </c>
      <c r="E242" s="6"/>
      <c r="F242" s="6"/>
      <c r="G242" s="6"/>
      <c r="H242" s="9" t="str" cm="1">
        <f t="array" ref="H242">_xlfn.IFS(AND(SUM(B242:D242)=0,SUM(E242:G242)&gt;0),"Новый",AND(SUM(B242:D242)&gt;0,SUM(E242:G242)&gt;0),"Действующий",AND(SUM(B242:D242)&gt;0,SUM(E242:G242)=0),"Спящий",AND(SUM(B242:G242)=0),"Ушедший")</f>
        <v>Спящий</v>
      </c>
      <c r="I242" s="3">
        <f>IF(AND(SUM(B242:D242)=0,SUM(E242:G242)&gt;0),1,0)</f>
        <v>0</v>
      </c>
      <c r="J242" s="3">
        <f t="shared" si="10"/>
        <v>0</v>
      </c>
      <c r="K242" s="3">
        <f t="shared" si="11"/>
        <v>1</v>
      </c>
      <c r="L242" s="3">
        <f t="shared" si="12"/>
        <v>0</v>
      </c>
      <c r="M242" s="3" t="str" cm="1">
        <f t="array" ref="M242">_xlfn.IFS(I242=1,$I$11,J242=1,$J$11,K242=1,$K$11,L242=1,$L$11)</f>
        <v>Спящий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 x14ac:dyDescent="0.3">
      <c r="A243" s="6" t="s">
        <v>512</v>
      </c>
      <c r="B243" s="6"/>
      <c r="C243" s="6">
        <v>1</v>
      </c>
      <c r="D243" s="6"/>
      <c r="E243" s="6"/>
      <c r="F243" s="6"/>
      <c r="G243" s="6"/>
      <c r="H243" s="9" t="str" cm="1">
        <f t="array" ref="H243">_xlfn.IFS(AND(SUM(B243:D243)=0,SUM(E243:G243)&gt;0),"Новый",AND(SUM(B243:D243)&gt;0,SUM(E243:G243)&gt;0),"Действующий",AND(SUM(B243:D243)&gt;0,SUM(E243:G243)=0),"Спящий",AND(SUM(B243:G243)=0),"Ушедший")</f>
        <v>Спящий</v>
      </c>
      <c r="I243" s="3">
        <f>IF(AND(SUM(B243:D243)=0,SUM(E243:G243)&gt;0),1,0)</f>
        <v>0</v>
      </c>
      <c r="J243" s="3">
        <f t="shared" si="10"/>
        <v>0</v>
      </c>
      <c r="K243" s="3">
        <f t="shared" si="11"/>
        <v>1</v>
      </c>
      <c r="L243" s="3">
        <f t="shared" si="12"/>
        <v>0</v>
      </c>
      <c r="M243" s="3" t="str" cm="1">
        <f t="array" ref="M243">_xlfn.IFS(I243=1,$I$11,J243=1,$J$11,K243=1,$K$11,L243=1,$L$11)</f>
        <v>Спящий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 x14ac:dyDescent="0.3">
      <c r="A244" s="6" t="s">
        <v>513</v>
      </c>
      <c r="B244" s="6"/>
      <c r="C244" s="6"/>
      <c r="D244" s="6"/>
      <c r="E244" s="6">
        <v>1</v>
      </c>
      <c r="F244" s="6"/>
      <c r="G244" s="6"/>
      <c r="H244" s="9" t="str" cm="1">
        <f t="array" ref="H244">_xlfn.IFS(AND(SUM(B244:D244)=0,SUM(E244:G244)&gt;0),"Новый",AND(SUM(B244:D244)&gt;0,SUM(E244:G244)&gt;0),"Действующий",AND(SUM(B244:D244)&gt;0,SUM(E244:G244)=0),"Спящий",AND(SUM(B244:G244)=0),"Ушедший")</f>
        <v>Новый</v>
      </c>
      <c r="I244" s="3">
        <f>IF(AND(SUM(B244:D244)=0,SUM(E244:G244)&gt;0),1,0)</f>
        <v>1</v>
      </c>
      <c r="J244" s="3">
        <f t="shared" si="10"/>
        <v>0</v>
      </c>
      <c r="K244" s="3">
        <f t="shared" si="11"/>
        <v>0</v>
      </c>
      <c r="L244" s="3">
        <f t="shared" si="12"/>
        <v>0</v>
      </c>
      <c r="M244" s="3" t="str" cm="1">
        <f t="array" ref="M244">_xlfn.IFS(I244=1,$I$11,J244=1,$J$11,K244=1,$K$11,L244=1,$L$11)</f>
        <v>Новый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 x14ac:dyDescent="0.3">
      <c r="A245" s="6" t="s">
        <v>514</v>
      </c>
      <c r="B245" s="6"/>
      <c r="C245" s="6">
        <v>3</v>
      </c>
      <c r="D245" s="6"/>
      <c r="E245" s="6"/>
      <c r="F245" s="6">
        <v>1</v>
      </c>
      <c r="G245" s="6">
        <v>1</v>
      </c>
      <c r="H245" s="9" t="str" cm="1">
        <f t="array" ref="H245">_xlfn.IFS(AND(SUM(B245:D245)=0,SUM(E245:G245)&gt;0),"Новый",AND(SUM(B245:D245)&gt;0,SUM(E245:G245)&gt;0),"Действующий",AND(SUM(B245:D245)&gt;0,SUM(E245:G245)=0),"Спящий",AND(SUM(B245:G245)=0),"Ушедший")</f>
        <v>Действующий</v>
      </c>
      <c r="I245" s="3">
        <f>IF(AND(SUM(B245:D245)=0,SUM(E245:G245)&gt;0),1,0)</f>
        <v>0</v>
      </c>
      <c r="J245" s="3">
        <f t="shared" si="10"/>
        <v>1</v>
      </c>
      <c r="K245" s="3">
        <f t="shared" si="11"/>
        <v>0</v>
      </c>
      <c r="L245" s="3">
        <f t="shared" si="12"/>
        <v>0</v>
      </c>
      <c r="M245" s="3" t="str" cm="1">
        <f t="array" ref="M245">_xlfn.IFS(I245=1,$I$11,J245=1,$J$11,K245=1,$K$11,L245=1,$L$11)</f>
        <v>Действующий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 x14ac:dyDescent="0.3">
      <c r="A246" s="6" t="s">
        <v>515</v>
      </c>
      <c r="B246" s="6"/>
      <c r="C246" s="6">
        <v>1</v>
      </c>
      <c r="D246" s="6"/>
      <c r="E246" s="6"/>
      <c r="F246" s="6"/>
      <c r="G246" s="6"/>
      <c r="H246" s="9" t="str" cm="1">
        <f t="array" ref="H246">_xlfn.IFS(AND(SUM(B246:D246)=0,SUM(E246:G246)&gt;0),"Новый",AND(SUM(B246:D246)&gt;0,SUM(E246:G246)&gt;0),"Действующий",AND(SUM(B246:D246)&gt;0,SUM(E246:G246)=0),"Спящий",AND(SUM(B246:G246)=0),"Ушедший")</f>
        <v>Спящий</v>
      </c>
      <c r="I246" s="3">
        <f>IF(AND(SUM(B246:D246)=0,SUM(E246:G246)&gt;0),1,0)</f>
        <v>0</v>
      </c>
      <c r="J246" s="3">
        <f t="shared" si="10"/>
        <v>0</v>
      </c>
      <c r="K246" s="3">
        <f t="shared" si="11"/>
        <v>1</v>
      </c>
      <c r="L246" s="3">
        <f t="shared" si="12"/>
        <v>0</v>
      </c>
      <c r="M246" s="3" t="str" cm="1">
        <f t="array" ref="M246">_xlfn.IFS(I246=1,$I$11,J246=1,$J$11,K246=1,$K$11,L246=1,$L$11)</f>
        <v>Спящий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 x14ac:dyDescent="0.3">
      <c r="A247" s="6" t="s">
        <v>516</v>
      </c>
      <c r="B247" s="6"/>
      <c r="C247" s="6"/>
      <c r="D247" s="6">
        <v>1</v>
      </c>
      <c r="E247" s="6"/>
      <c r="F247" s="6"/>
      <c r="G247" s="6"/>
      <c r="H247" s="9" t="str" cm="1">
        <f t="array" ref="H247">_xlfn.IFS(AND(SUM(B247:D247)=0,SUM(E247:G247)&gt;0),"Новый",AND(SUM(B247:D247)&gt;0,SUM(E247:G247)&gt;0),"Действующий",AND(SUM(B247:D247)&gt;0,SUM(E247:G247)=0),"Спящий",AND(SUM(B247:G247)=0),"Ушедший")</f>
        <v>Спящий</v>
      </c>
      <c r="I247" s="3">
        <f>IF(AND(SUM(B247:D247)=0,SUM(E247:G247)&gt;0),1,0)</f>
        <v>0</v>
      </c>
      <c r="J247" s="3">
        <f t="shared" si="10"/>
        <v>0</v>
      </c>
      <c r="K247" s="3">
        <f t="shared" si="11"/>
        <v>1</v>
      </c>
      <c r="L247" s="3">
        <f t="shared" si="12"/>
        <v>0</v>
      </c>
      <c r="M247" s="3" t="str" cm="1">
        <f t="array" ref="M247">_xlfn.IFS(I247=1,$I$11,J247=1,$J$11,K247=1,$K$11,L247=1,$L$11)</f>
        <v>Спящий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 x14ac:dyDescent="0.3">
      <c r="A248" s="6" t="s">
        <v>517</v>
      </c>
      <c r="B248" s="6"/>
      <c r="C248" s="6"/>
      <c r="D248" s="6"/>
      <c r="E248" s="6">
        <v>1</v>
      </c>
      <c r="F248" s="6"/>
      <c r="G248" s="6">
        <v>1</v>
      </c>
      <c r="H248" s="9" t="str" cm="1">
        <f t="array" ref="H248">_xlfn.IFS(AND(SUM(B248:D248)=0,SUM(E248:G248)&gt;0),"Новый",AND(SUM(B248:D248)&gt;0,SUM(E248:G248)&gt;0),"Действующий",AND(SUM(B248:D248)&gt;0,SUM(E248:G248)=0),"Спящий",AND(SUM(B248:G248)=0),"Ушедший")</f>
        <v>Новый</v>
      </c>
      <c r="I248" s="3">
        <f>IF(AND(SUM(B248:D248)=0,SUM(E248:G248)&gt;0),1,0)</f>
        <v>1</v>
      </c>
      <c r="J248" s="3">
        <f t="shared" si="10"/>
        <v>0</v>
      </c>
      <c r="K248" s="3">
        <f t="shared" si="11"/>
        <v>0</v>
      </c>
      <c r="L248" s="3">
        <f t="shared" si="12"/>
        <v>0</v>
      </c>
      <c r="M248" s="3" t="str" cm="1">
        <f t="array" ref="M248">_xlfn.IFS(I248=1,$I$11,J248=1,$J$11,K248=1,$K$11,L248=1,$L$11)</f>
        <v>Новый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 x14ac:dyDescent="0.3">
      <c r="A249" s="6" t="s">
        <v>518</v>
      </c>
      <c r="B249" s="6"/>
      <c r="C249" s="6"/>
      <c r="D249" s="6"/>
      <c r="E249" s="6"/>
      <c r="F249" s="6">
        <v>1</v>
      </c>
      <c r="G249" s="6"/>
      <c r="H249" s="9" t="str" cm="1">
        <f t="array" ref="H249">_xlfn.IFS(AND(SUM(B249:D249)=0,SUM(E249:G249)&gt;0),"Новый",AND(SUM(B249:D249)&gt;0,SUM(E249:G249)&gt;0),"Действующий",AND(SUM(B249:D249)&gt;0,SUM(E249:G249)=0),"Спящий",AND(SUM(B249:G249)=0),"Ушедший")</f>
        <v>Новый</v>
      </c>
      <c r="I249" s="3">
        <f>IF(AND(SUM(B249:D249)=0,SUM(E249:G249)&gt;0),1,0)</f>
        <v>1</v>
      </c>
      <c r="J249" s="3">
        <f t="shared" si="10"/>
        <v>0</v>
      </c>
      <c r="K249" s="3">
        <f t="shared" si="11"/>
        <v>0</v>
      </c>
      <c r="L249" s="3">
        <f t="shared" si="12"/>
        <v>0</v>
      </c>
      <c r="M249" s="3" t="str" cm="1">
        <f t="array" ref="M249">_xlfn.IFS(I249=1,$I$11,J249=1,$J$11,K249=1,$K$11,L249=1,$L$11)</f>
        <v>Новый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 x14ac:dyDescent="0.3">
      <c r="A250" s="6" t="s">
        <v>519</v>
      </c>
      <c r="B250" s="6">
        <v>3</v>
      </c>
      <c r="C250" s="6"/>
      <c r="D250" s="6">
        <v>4</v>
      </c>
      <c r="E250" s="6">
        <v>3</v>
      </c>
      <c r="F250" s="6">
        <v>1</v>
      </c>
      <c r="G250" s="6">
        <v>3</v>
      </c>
      <c r="H250" s="9" t="str" cm="1">
        <f t="array" ref="H250">_xlfn.IFS(AND(SUM(B250:D250)=0,SUM(E250:G250)&gt;0),"Новый",AND(SUM(B250:D250)&gt;0,SUM(E250:G250)&gt;0),"Действующий",AND(SUM(B250:D250)&gt;0,SUM(E250:G250)=0),"Спящий",AND(SUM(B250:G250)=0),"Ушедший")</f>
        <v>Действующий</v>
      </c>
      <c r="I250" s="3">
        <f>IF(AND(SUM(B250:D250)=0,SUM(E250:G250)&gt;0),1,0)</f>
        <v>0</v>
      </c>
      <c r="J250" s="3">
        <f t="shared" si="10"/>
        <v>1</v>
      </c>
      <c r="K250" s="3">
        <f t="shared" si="11"/>
        <v>0</v>
      </c>
      <c r="L250" s="3">
        <f t="shared" si="12"/>
        <v>0</v>
      </c>
      <c r="M250" s="3" t="str" cm="1">
        <f t="array" ref="M250">_xlfn.IFS(I250=1,$I$11,J250=1,$J$11,K250=1,$K$11,L250=1,$L$11)</f>
        <v>Действующий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 x14ac:dyDescent="0.3">
      <c r="A251" s="6" t="s">
        <v>520</v>
      </c>
      <c r="B251" s="6"/>
      <c r="C251" s="6"/>
      <c r="D251" s="6"/>
      <c r="E251" s="6"/>
      <c r="F251" s="6">
        <v>2</v>
      </c>
      <c r="G251" s="6">
        <v>1</v>
      </c>
      <c r="H251" s="9" t="str" cm="1">
        <f t="array" ref="H251">_xlfn.IFS(AND(SUM(B251:D251)=0,SUM(E251:G251)&gt;0),"Новый",AND(SUM(B251:D251)&gt;0,SUM(E251:G251)&gt;0),"Действующий",AND(SUM(B251:D251)&gt;0,SUM(E251:G251)=0),"Спящий",AND(SUM(B251:G251)=0),"Ушедший")</f>
        <v>Новый</v>
      </c>
      <c r="I251" s="3">
        <f>IF(AND(SUM(B251:D251)=0,SUM(E251:G251)&gt;0),1,0)</f>
        <v>1</v>
      </c>
      <c r="J251" s="3">
        <f t="shared" si="10"/>
        <v>0</v>
      </c>
      <c r="K251" s="3">
        <f t="shared" si="11"/>
        <v>0</v>
      </c>
      <c r="L251" s="3">
        <f t="shared" si="12"/>
        <v>0</v>
      </c>
      <c r="M251" s="3" t="str" cm="1">
        <f t="array" ref="M251">_xlfn.IFS(I251=1,$I$11,J251=1,$J$11,K251=1,$K$11,L251=1,$L$11)</f>
        <v>Новый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 x14ac:dyDescent="0.3">
      <c r="A252" s="6" t="s">
        <v>521</v>
      </c>
      <c r="B252" s="6">
        <v>1</v>
      </c>
      <c r="C252" s="6"/>
      <c r="D252" s="6"/>
      <c r="E252" s="6"/>
      <c r="F252" s="6"/>
      <c r="G252" s="6"/>
      <c r="H252" s="9" t="str" cm="1">
        <f t="array" ref="H252">_xlfn.IFS(AND(SUM(B252:D252)=0,SUM(E252:G252)&gt;0),"Новый",AND(SUM(B252:D252)&gt;0,SUM(E252:G252)&gt;0),"Действующий",AND(SUM(B252:D252)&gt;0,SUM(E252:G252)=0),"Спящий",AND(SUM(B252:G252)=0),"Ушедший")</f>
        <v>Спящий</v>
      </c>
      <c r="I252" s="3">
        <f>IF(AND(SUM(B252:D252)=0,SUM(E252:G252)&gt;0),1,0)</f>
        <v>0</v>
      </c>
      <c r="J252" s="3">
        <f t="shared" si="10"/>
        <v>0</v>
      </c>
      <c r="K252" s="3">
        <f t="shared" si="11"/>
        <v>1</v>
      </c>
      <c r="L252" s="3">
        <f t="shared" si="12"/>
        <v>0</v>
      </c>
      <c r="M252" s="3" t="str" cm="1">
        <f t="array" ref="M252">_xlfn.IFS(I252=1,$I$11,J252=1,$J$11,K252=1,$K$11,L252=1,$L$11)</f>
        <v>Спящий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 x14ac:dyDescent="0.3">
      <c r="A253" s="6" t="s">
        <v>522</v>
      </c>
      <c r="B253" s="6"/>
      <c r="C253" s="6"/>
      <c r="D253" s="6"/>
      <c r="E253" s="6">
        <v>1</v>
      </c>
      <c r="F253" s="6">
        <v>1</v>
      </c>
      <c r="G253" s="6"/>
      <c r="H253" s="9" t="str" cm="1">
        <f t="array" ref="H253">_xlfn.IFS(AND(SUM(B253:D253)=0,SUM(E253:G253)&gt;0),"Новый",AND(SUM(B253:D253)&gt;0,SUM(E253:G253)&gt;0),"Действующий",AND(SUM(B253:D253)&gt;0,SUM(E253:G253)=0),"Спящий",AND(SUM(B253:G253)=0),"Ушедший")</f>
        <v>Новый</v>
      </c>
      <c r="I253" s="3">
        <f>IF(AND(SUM(B253:D253)=0,SUM(E253:G253)&gt;0),1,0)</f>
        <v>1</v>
      </c>
      <c r="J253" s="3">
        <f t="shared" si="10"/>
        <v>0</v>
      </c>
      <c r="K253" s="3">
        <f t="shared" si="11"/>
        <v>0</v>
      </c>
      <c r="L253" s="3">
        <f t="shared" si="12"/>
        <v>0</v>
      </c>
      <c r="M253" s="3" t="str" cm="1">
        <f t="array" ref="M253">_xlfn.IFS(I253=1,$I$11,J253=1,$J$11,K253=1,$K$11,L253=1,$L$11)</f>
        <v>Новый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 x14ac:dyDescent="0.3">
      <c r="A254" s="6" t="s">
        <v>523</v>
      </c>
      <c r="B254" s="6">
        <v>3</v>
      </c>
      <c r="C254" s="6">
        <v>3</v>
      </c>
      <c r="D254" s="6">
        <v>2</v>
      </c>
      <c r="E254" s="6">
        <v>4</v>
      </c>
      <c r="F254" s="6">
        <v>1</v>
      </c>
      <c r="G254" s="6">
        <v>2</v>
      </c>
      <c r="H254" s="9" t="str" cm="1">
        <f t="array" ref="H254">_xlfn.IFS(AND(SUM(B254:D254)=0,SUM(E254:G254)&gt;0),"Новый",AND(SUM(B254:D254)&gt;0,SUM(E254:G254)&gt;0),"Действующий",AND(SUM(B254:D254)&gt;0,SUM(E254:G254)=0),"Спящий",AND(SUM(B254:G254)=0),"Ушедший")</f>
        <v>Действующий</v>
      </c>
      <c r="I254" s="3">
        <f>IF(AND(SUM(B254:D254)=0,SUM(E254:G254)&gt;0),1,0)</f>
        <v>0</v>
      </c>
      <c r="J254" s="3">
        <f t="shared" si="10"/>
        <v>1</v>
      </c>
      <c r="K254" s="3">
        <f t="shared" si="11"/>
        <v>0</v>
      </c>
      <c r="L254" s="3">
        <f t="shared" si="12"/>
        <v>0</v>
      </c>
      <c r="M254" s="3" t="str" cm="1">
        <f t="array" ref="M254">_xlfn.IFS(I254=1,$I$11,J254=1,$J$11,K254=1,$K$11,L254=1,$L$11)</f>
        <v>Действующий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75" customHeight="1" x14ac:dyDescent="0.3">
      <c r="A255" s="6" t="s">
        <v>524</v>
      </c>
      <c r="B255" s="6">
        <v>1</v>
      </c>
      <c r="C255" s="6"/>
      <c r="D255" s="6"/>
      <c r="E255" s="6"/>
      <c r="F255" s="6"/>
      <c r="G255" s="6"/>
      <c r="H255" s="9" t="str" cm="1">
        <f t="array" ref="H255">_xlfn.IFS(AND(SUM(B255:D255)=0,SUM(E255:G255)&gt;0),"Новый",AND(SUM(B255:D255)&gt;0,SUM(E255:G255)&gt;0),"Действующий",AND(SUM(B255:D255)&gt;0,SUM(E255:G255)=0),"Спящий",AND(SUM(B255:G255)=0),"Ушедший")</f>
        <v>Спящий</v>
      </c>
      <c r="I255" s="3">
        <f>IF(AND(SUM(B255:D255)=0,SUM(E255:G255)&gt;0),1,0)</f>
        <v>0</v>
      </c>
      <c r="J255" s="3">
        <f t="shared" si="10"/>
        <v>0</v>
      </c>
      <c r="K255" s="3">
        <f t="shared" si="11"/>
        <v>1</v>
      </c>
      <c r="L255" s="3">
        <f t="shared" si="12"/>
        <v>0</v>
      </c>
      <c r="M255" s="3" t="str" cm="1">
        <f t="array" ref="M255">_xlfn.IFS(I255=1,$I$11,J255=1,$J$11,K255=1,$K$11,L255=1,$L$11)</f>
        <v>Спящий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 x14ac:dyDescent="0.3">
      <c r="A256" s="6" t="s">
        <v>525</v>
      </c>
      <c r="B256" s="6"/>
      <c r="C256" s="6"/>
      <c r="D256" s="6"/>
      <c r="E256" s="6"/>
      <c r="F256" s="6"/>
      <c r="G256" s="6">
        <v>1</v>
      </c>
      <c r="H256" s="9" t="str" cm="1">
        <f t="array" ref="H256">_xlfn.IFS(AND(SUM(B256:D256)=0,SUM(E256:G256)&gt;0),"Новый",AND(SUM(B256:D256)&gt;0,SUM(E256:G256)&gt;0),"Действующий",AND(SUM(B256:D256)&gt;0,SUM(E256:G256)=0),"Спящий",AND(SUM(B256:G256)=0),"Ушедший")</f>
        <v>Новый</v>
      </c>
      <c r="I256" s="3">
        <f>IF(AND(SUM(B256:D256)=0,SUM(E256:G256)&gt;0),1,0)</f>
        <v>1</v>
      </c>
      <c r="J256" s="3">
        <f t="shared" si="10"/>
        <v>0</v>
      </c>
      <c r="K256" s="3">
        <f t="shared" si="11"/>
        <v>0</v>
      </c>
      <c r="L256" s="3">
        <f t="shared" si="12"/>
        <v>0</v>
      </c>
      <c r="M256" s="3" t="str" cm="1">
        <f t="array" ref="M256">_xlfn.IFS(I256=1,$I$11,J256=1,$J$11,K256=1,$K$11,L256=1,$L$11)</f>
        <v>Новый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75" customHeight="1" x14ac:dyDescent="0.3">
      <c r="A257" s="6" t="s">
        <v>526</v>
      </c>
      <c r="B257" s="6">
        <v>1</v>
      </c>
      <c r="C257" s="6"/>
      <c r="D257" s="6"/>
      <c r="E257" s="6"/>
      <c r="F257" s="6"/>
      <c r="G257" s="6"/>
      <c r="H257" s="9" t="str" cm="1">
        <f t="array" ref="H257">_xlfn.IFS(AND(SUM(B257:D257)=0,SUM(E257:G257)&gt;0),"Новый",AND(SUM(B257:D257)&gt;0,SUM(E257:G257)&gt;0),"Действующий",AND(SUM(B257:D257)&gt;0,SUM(E257:G257)=0),"Спящий",AND(SUM(B257:G257)=0),"Ушедший")</f>
        <v>Спящий</v>
      </c>
      <c r="I257" s="3">
        <f>IF(AND(SUM(B257:D257)=0,SUM(E257:G257)&gt;0),1,0)</f>
        <v>0</v>
      </c>
      <c r="J257" s="3">
        <f t="shared" si="10"/>
        <v>0</v>
      </c>
      <c r="K257" s="3">
        <f t="shared" si="11"/>
        <v>1</v>
      </c>
      <c r="L257" s="3">
        <f t="shared" si="12"/>
        <v>0</v>
      </c>
      <c r="M257" s="3" t="str" cm="1">
        <f t="array" ref="M257">_xlfn.IFS(I257=1,$I$11,J257=1,$J$11,K257=1,$K$11,L257=1,$L$11)</f>
        <v>Спящий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 x14ac:dyDescent="0.3">
      <c r="A258" s="6" t="s">
        <v>527</v>
      </c>
      <c r="B258" s="6"/>
      <c r="C258" s="6"/>
      <c r="D258" s="6"/>
      <c r="E258" s="6"/>
      <c r="F258" s="6"/>
      <c r="G258" s="6">
        <v>1</v>
      </c>
      <c r="H258" s="9" t="str" cm="1">
        <f t="array" ref="H258">_xlfn.IFS(AND(SUM(B258:D258)=0,SUM(E258:G258)&gt;0),"Новый",AND(SUM(B258:D258)&gt;0,SUM(E258:G258)&gt;0),"Действующий",AND(SUM(B258:D258)&gt;0,SUM(E258:G258)=0),"Спящий",AND(SUM(B258:G258)=0),"Ушедший")</f>
        <v>Новый</v>
      </c>
      <c r="I258" s="3">
        <f>IF(AND(SUM(B258:D258)=0,SUM(E258:G258)&gt;0),1,0)</f>
        <v>1</v>
      </c>
      <c r="J258" s="3">
        <f t="shared" si="10"/>
        <v>0</v>
      </c>
      <c r="K258" s="3">
        <f t="shared" si="11"/>
        <v>0</v>
      </c>
      <c r="L258" s="3">
        <f t="shared" si="12"/>
        <v>0</v>
      </c>
      <c r="M258" s="3" t="str" cm="1">
        <f t="array" ref="M258">_xlfn.IFS(I258=1,$I$11,J258=1,$J$11,K258=1,$K$11,L258=1,$L$11)</f>
        <v>Новый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75" customHeight="1" x14ac:dyDescent="0.3">
      <c r="A259" s="6" t="s">
        <v>528</v>
      </c>
      <c r="B259" s="6">
        <v>4</v>
      </c>
      <c r="C259" s="6">
        <v>6</v>
      </c>
      <c r="D259" s="6">
        <v>10</v>
      </c>
      <c r="E259" s="6">
        <v>7</v>
      </c>
      <c r="F259" s="6">
        <v>10</v>
      </c>
      <c r="G259" s="6">
        <v>6</v>
      </c>
      <c r="H259" s="9" t="str" cm="1">
        <f t="array" ref="H259">_xlfn.IFS(AND(SUM(B259:D259)=0,SUM(E259:G259)&gt;0),"Новый",AND(SUM(B259:D259)&gt;0,SUM(E259:G259)&gt;0),"Действующий",AND(SUM(B259:D259)&gt;0,SUM(E259:G259)=0),"Спящий",AND(SUM(B259:G259)=0),"Ушедший")</f>
        <v>Действующий</v>
      </c>
      <c r="I259" s="3">
        <f>IF(AND(SUM(B259:D259)=0,SUM(E259:G259)&gt;0),1,0)</f>
        <v>0</v>
      </c>
      <c r="J259" s="3">
        <f t="shared" si="10"/>
        <v>1</v>
      </c>
      <c r="K259" s="3">
        <f t="shared" si="11"/>
        <v>0</v>
      </c>
      <c r="L259" s="3">
        <f t="shared" si="12"/>
        <v>0</v>
      </c>
      <c r="M259" s="3" t="str" cm="1">
        <f t="array" ref="M259">_xlfn.IFS(I259=1,$I$11,J259=1,$J$11,K259=1,$K$11,L259=1,$L$11)</f>
        <v>Действующий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 x14ac:dyDescent="0.3">
      <c r="A260" s="6" t="s">
        <v>529</v>
      </c>
      <c r="B260" s="6"/>
      <c r="C260" s="6">
        <v>1</v>
      </c>
      <c r="D260" s="6"/>
      <c r="E260" s="6"/>
      <c r="F260" s="6"/>
      <c r="G260" s="6"/>
      <c r="H260" s="9" t="str" cm="1">
        <f t="array" ref="H260">_xlfn.IFS(AND(SUM(B260:D260)=0,SUM(E260:G260)&gt;0),"Новый",AND(SUM(B260:D260)&gt;0,SUM(E260:G260)&gt;0),"Действующий",AND(SUM(B260:D260)&gt;0,SUM(E260:G260)=0),"Спящий",AND(SUM(B260:G260)=0),"Ушедший")</f>
        <v>Спящий</v>
      </c>
      <c r="I260" s="3">
        <f>IF(AND(SUM(B260:D260)=0,SUM(E260:G260)&gt;0),1,0)</f>
        <v>0</v>
      </c>
      <c r="J260" s="3">
        <f t="shared" si="10"/>
        <v>0</v>
      </c>
      <c r="K260" s="3">
        <f t="shared" si="11"/>
        <v>1</v>
      </c>
      <c r="L260" s="3">
        <f t="shared" si="12"/>
        <v>0</v>
      </c>
      <c r="M260" s="3" t="str" cm="1">
        <f t="array" ref="M260">_xlfn.IFS(I260=1,$I$11,J260=1,$J$11,K260=1,$K$11,L260=1,$L$11)</f>
        <v>Спящий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75" customHeight="1" x14ac:dyDescent="0.3">
      <c r="A261" s="6" t="s">
        <v>530</v>
      </c>
      <c r="B261" s="6"/>
      <c r="C261" s="6"/>
      <c r="D261" s="6">
        <v>1</v>
      </c>
      <c r="E261" s="6">
        <v>4</v>
      </c>
      <c r="F261" s="6">
        <v>1</v>
      </c>
      <c r="G261" s="6">
        <v>3</v>
      </c>
      <c r="H261" s="9" t="str" cm="1">
        <f t="array" ref="H261">_xlfn.IFS(AND(SUM(B261:D261)=0,SUM(E261:G261)&gt;0),"Новый",AND(SUM(B261:D261)&gt;0,SUM(E261:G261)&gt;0),"Действующий",AND(SUM(B261:D261)&gt;0,SUM(E261:G261)=0),"Спящий",AND(SUM(B261:G261)=0),"Ушедший")</f>
        <v>Действующий</v>
      </c>
      <c r="I261" s="3">
        <f>IF(AND(SUM(B261:D261)=0,SUM(E261:G261)&gt;0),1,0)</f>
        <v>0</v>
      </c>
      <c r="J261" s="3">
        <f t="shared" si="10"/>
        <v>1</v>
      </c>
      <c r="K261" s="3">
        <f t="shared" si="11"/>
        <v>0</v>
      </c>
      <c r="L261" s="3">
        <f t="shared" si="12"/>
        <v>0</v>
      </c>
      <c r="M261" s="3" t="str" cm="1">
        <f t="array" ref="M261">_xlfn.IFS(I261=1,$I$11,J261=1,$J$11,K261=1,$K$11,L261=1,$L$11)</f>
        <v>Действующий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 x14ac:dyDescent="0.3">
      <c r="A262" s="6" t="s">
        <v>531</v>
      </c>
      <c r="B262" s="6"/>
      <c r="C262" s="6">
        <v>1</v>
      </c>
      <c r="D262" s="6"/>
      <c r="E262" s="6"/>
      <c r="F262" s="6"/>
      <c r="G262" s="6">
        <v>1</v>
      </c>
      <c r="H262" s="9" t="str" cm="1">
        <f t="array" ref="H262">_xlfn.IFS(AND(SUM(B262:D262)=0,SUM(E262:G262)&gt;0),"Новый",AND(SUM(B262:D262)&gt;0,SUM(E262:G262)&gt;0),"Действующий",AND(SUM(B262:D262)&gt;0,SUM(E262:G262)=0),"Спящий",AND(SUM(B262:G262)=0),"Ушедший")</f>
        <v>Действующий</v>
      </c>
      <c r="I262" s="3">
        <f>IF(AND(SUM(B262:D262)=0,SUM(E262:G262)&gt;0),1,0)</f>
        <v>0</v>
      </c>
      <c r="J262" s="3">
        <f t="shared" si="10"/>
        <v>1</v>
      </c>
      <c r="K262" s="3">
        <f t="shared" si="11"/>
        <v>0</v>
      </c>
      <c r="L262" s="3">
        <f t="shared" si="12"/>
        <v>0</v>
      </c>
      <c r="M262" s="3" t="str" cm="1">
        <f t="array" ref="M262">_xlfn.IFS(I262=1,$I$11,J262=1,$J$11,K262=1,$K$11,L262=1,$L$11)</f>
        <v>Действующий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75" customHeight="1" x14ac:dyDescent="0.3">
      <c r="A263" s="6" t="s">
        <v>532</v>
      </c>
      <c r="B263" s="6">
        <v>2</v>
      </c>
      <c r="C263" s="6">
        <v>1</v>
      </c>
      <c r="D263" s="6">
        <v>5</v>
      </c>
      <c r="E263" s="6">
        <v>2</v>
      </c>
      <c r="F263" s="6">
        <v>2</v>
      </c>
      <c r="G263" s="6"/>
      <c r="H263" s="9" t="str" cm="1">
        <f t="array" ref="H263">_xlfn.IFS(AND(SUM(B263:D263)=0,SUM(E263:G263)&gt;0),"Новый",AND(SUM(B263:D263)&gt;0,SUM(E263:G263)&gt;0),"Действующий",AND(SUM(B263:D263)&gt;0,SUM(E263:G263)=0),"Спящий",AND(SUM(B263:G263)=0),"Ушедший")</f>
        <v>Действующий</v>
      </c>
      <c r="I263" s="3">
        <f>IF(AND(SUM(B263:D263)=0,SUM(E263:G263)&gt;0),1,0)</f>
        <v>0</v>
      </c>
      <c r="J263" s="3">
        <f t="shared" si="10"/>
        <v>1</v>
      </c>
      <c r="K263" s="3">
        <f t="shared" si="11"/>
        <v>0</v>
      </c>
      <c r="L263" s="3">
        <f t="shared" si="12"/>
        <v>0</v>
      </c>
      <c r="M263" s="3" t="str" cm="1">
        <f t="array" ref="M263">_xlfn.IFS(I263=1,$I$11,J263=1,$J$11,K263=1,$K$11,L263=1,$L$11)</f>
        <v>Действующий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 x14ac:dyDescent="0.3">
      <c r="A264" s="6" t="s">
        <v>533</v>
      </c>
      <c r="B264" s="6"/>
      <c r="C264" s="6"/>
      <c r="D264" s="6"/>
      <c r="E264" s="6"/>
      <c r="F264" s="6"/>
      <c r="G264" s="6">
        <v>1</v>
      </c>
      <c r="H264" s="9" t="str" cm="1">
        <f t="array" ref="H264">_xlfn.IFS(AND(SUM(B264:D264)=0,SUM(E264:G264)&gt;0),"Новый",AND(SUM(B264:D264)&gt;0,SUM(E264:G264)&gt;0),"Действующий",AND(SUM(B264:D264)&gt;0,SUM(E264:G264)=0),"Спящий",AND(SUM(B264:G264)=0),"Ушедший")</f>
        <v>Новый</v>
      </c>
      <c r="I264" s="3">
        <f>IF(AND(SUM(B264:D264)=0,SUM(E264:G264)&gt;0),1,0)</f>
        <v>1</v>
      </c>
      <c r="J264" s="3">
        <f t="shared" si="10"/>
        <v>0</v>
      </c>
      <c r="K264" s="3">
        <f t="shared" si="11"/>
        <v>0</v>
      </c>
      <c r="L264" s="3">
        <f t="shared" si="12"/>
        <v>0</v>
      </c>
      <c r="M264" s="3" t="str" cm="1">
        <f t="array" ref="M264">_xlfn.IFS(I264=1,$I$11,J264=1,$J$11,K264=1,$K$11,L264=1,$L$11)</f>
        <v>Новый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75" customHeight="1" x14ac:dyDescent="0.3">
      <c r="A265" s="6" t="s">
        <v>534</v>
      </c>
      <c r="B265" s="6"/>
      <c r="C265" s="6"/>
      <c r="D265" s="6"/>
      <c r="E265" s="6"/>
      <c r="F265" s="6"/>
      <c r="G265" s="6">
        <v>1</v>
      </c>
      <c r="H265" s="9" t="str" cm="1">
        <f t="array" ref="H265">_xlfn.IFS(AND(SUM(B265:D265)=0,SUM(E265:G265)&gt;0),"Новый",AND(SUM(B265:D265)&gt;0,SUM(E265:G265)&gt;0),"Действующий",AND(SUM(B265:D265)&gt;0,SUM(E265:G265)=0),"Спящий",AND(SUM(B265:G265)=0),"Ушедший")</f>
        <v>Новый</v>
      </c>
      <c r="I265" s="3">
        <f>IF(AND(SUM(B265:D265)=0,SUM(E265:G265)&gt;0),1,0)</f>
        <v>1</v>
      </c>
      <c r="J265" s="3">
        <f t="shared" si="10"/>
        <v>0</v>
      </c>
      <c r="K265" s="3">
        <f t="shared" si="11"/>
        <v>0</v>
      </c>
      <c r="L265" s="3">
        <f t="shared" si="12"/>
        <v>0</v>
      </c>
      <c r="M265" s="3" t="str" cm="1">
        <f t="array" ref="M265">_xlfn.IFS(I265=1,$I$11,J265=1,$J$11,K265=1,$K$11,L265=1,$L$11)</f>
        <v>Новый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 x14ac:dyDescent="0.3">
      <c r="A266" s="6" t="s">
        <v>535</v>
      </c>
      <c r="B266" s="6"/>
      <c r="C266" s="6">
        <v>1</v>
      </c>
      <c r="D266" s="6">
        <v>3</v>
      </c>
      <c r="E266" s="6">
        <v>4</v>
      </c>
      <c r="F266" s="6">
        <v>2</v>
      </c>
      <c r="G266" s="6"/>
      <c r="H266" s="9" t="str" cm="1">
        <f t="array" ref="H266">_xlfn.IFS(AND(SUM(B266:D266)=0,SUM(E266:G266)&gt;0),"Новый",AND(SUM(B266:D266)&gt;0,SUM(E266:G266)&gt;0),"Действующий",AND(SUM(B266:D266)&gt;0,SUM(E266:G266)=0),"Спящий",AND(SUM(B266:G266)=0),"Ушедший")</f>
        <v>Действующий</v>
      </c>
      <c r="I266" s="3">
        <f>IF(AND(SUM(B266:D266)=0,SUM(E266:G266)&gt;0),1,0)</f>
        <v>0</v>
      </c>
      <c r="J266" s="3">
        <f t="shared" si="10"/>
        <v>1</v>
      </c>
      <c r="K266" s="3">
        <f t="shared" si="11"/>
        <v>0</v>
      </c>
      <c r="L266" s="3">
        <f t="shared" si="12"/>
        <v>0</v>
      </c>
      <c r="M266" s="3" t="str" cm="1">
        <f t="array" ref="M266">_xlfn.IFS(I266=1,$I$11,J266=1,$J$11,K266=1,$K$11,L266=1,$L$11)</f>
        <v>Действующий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75" customHeight="1" x14ac:dyDescent="0.3">
      <c r="A267" s="6" t="s">
        <v>536</v>
      </c>
      <c r="B267" s="6"/>
      <c r="C267" s="6">
        <v>1</v>
      </c>
      <c r="D267" s="6"/>
      <c r="E267" s="6"/>
      <c r="F267" s="6"/>
      <c r="G267" s="6"/>
      <c r="H267" s="9" t="str" cm="1">
        <f t="array" ref="H267">_xlfn.IFS(AND(SUM(B267:D267)=0,SUM(E267:G267)&gt;0),"Новый",AND(SUM(B267:D267)&gt;0,SUM(E267:G267)&gt;0),"Действующий",AND(SUM(B267:D267)&gt;0,SUM(E267:G267)=0),"Спящий",AND(SUM(B267:G267)=0),"Ушедший")</f>
        <v>Спящий</v>
      </c>
      <c r="I267" s="3">
        <f>IF(AND(SUM(B267:D267)=0,SUM(E267:G267)&gt;0),1,0)</f>
        <v>0</v>
      </c>
      <c r="J267" s="3">
        <f t="shared" si="10"/>
        <v>0</v>
      </c>
      <c r="K267" s="3">
        <f t="shared" si="11"/>
        <v>1</v>
      </c>
      <c r="L267" s="3">
        <f t="shared" si="12"/>
        <v>0</v>
      </c>
      <c r="M267" s="3" t="str" cm="1">
        <f t="array" ref="M267">_xlfn.IFS(I267=1,$I$11,J267=1,$J$11,K267=1,$K$11,L267=1,$L$11)</f>
        <v>Спящий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 x14ac:dyDescent="0.3">
      <c r="A268" s="6" t="s">
        <v>537</v>
      </c>
      <c r="B268" s="6"/>
      <c r="C268" s="6"/>
      <c r="D268" s="6"/>
      <c r="E268" s="6">
        <v>1</v>
      </c>
      <c r="F268" s="6"/>
      <c r="G268" s="6"/>
      <c r="H268" s="9" t="str" cm="1">
        <f t="array" ref="H268">_xlfn.IFS(AND(SUM(B268:D268)=0,SUM(E268:G268)&gt;0),"Новый",AND(SUM(B268:D268)&gt;0,SUM(E268:G268)&gt;0),"Действующий",AND(SUM(B268:D268)&gt;0,SUM(E268:G268)=0),"Спящий",AND(SUM(B268:G268)=0),"Ушедший")</f>
        <v>Новый</v>
      </c>
      <c r="I268" s="3">
        <f>IF(AND(SUM(B268:D268)=0,SUM(E268:G268)&gt;0),1,0)</f>
        <v>1</v>
      </c>
      <c r="J268" s="3">
        <f t="shared" si="10"/>
        <v>0</v>
      </c>
      <c r="K268" s="3">
        <f t="shared" si="11"/>
        <v>0</v>
      </c>
      <c r="L268" s="3">
        <f t="shared" si="12"/>
        <v>0</v>
      </c>
      <c r="M268" s="3" t="str" cm="1">
        <f t="array" ref="M268">_xlfn.IFS(I268=1,$I$11,J268=1,$J$11,K268=1,$K$11,L268=1,$L$11)</f>
        <v>Новый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75" customHeight="1" x14ac:dyDescent="0.3">
      <c r="A269" s="6" t="s">
        <v>538</v>
      </c>
      <c r="B269" s="6">
        <v>42</v>
      </c>
      <c r="C269" s="6">
        <v>53</v>
      </c>
      <c r="D269" s="6">
        <v>60</v>
      </c>
      <c r="E269" s="6">
        <v>74</v>
      </c>
      <c r="F269" s="6">
        <v>72</v>
      </c>
      <c r="G269" s="6">
        <v>55</v>
      </c>
      <c r="H269" s="9" t="str" cm="1">
        <f t="array" ref="H269">_xlfn.IFS(AND(SUM(B269:D269)=0,SUM(E269:G269)&gt;0),"Новый",AND(SUM(B269:D269)&gt;0,SUM(E269:G269)&gt;0),"Действующий",AND(SUM(B269:D269)&gt;0,SUM(E269:G269)=0),"Спящий",AND(SUM(B269:G269)=0),"Ушедший")</f>
        <v>Действующий</v>
      </c>
      <c r="I269" s="3">
        <f>IF(AND(SUM(B269:D269)=0,SUM(E269:G269)&gt;0),1,0)</f>
        <v>0</v>
      </c>
      <c r="J269" s="3">
        <f t="shared" ref="J269:J332" si="13">IF(AND(SUM(B269:D269)&gt;0,SUM(E269:G269)&gt;0),1,0)</f>
        <v>1</v>
      </c>
      <c r="K269" s="3">
        <f t="shared" ref="K269:K332" si="14">IF(AND(SUM(B269:D269)&gt;0,SUM(E269:G269)=0),1,0)</f>
        <v>0</v>
      </c>
      <c r="L269" s="3">
        <f t="shared" ref="L269:L332" si="15">IF(AND(SUM(B269:D269)=0,SUM(E269:G269)=0),1,0)</f>
        <v>0</v>
      </c>
      <c r="M269" s="3" t="str" cm="1">
        <f t="array" ref="M269">_xlfn.IFS(I269=1,$I$11,J269=1,$J$11,K269=1,$K$11,L269=1,$L$11)</f>
        <v>Действующий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 x14ac:dyDescent="0.3">
      <c r="A270" s="6" t="s">
        <v>539</v>
      </c>
      <c r="B270" s="6"/>
      <c r="C270" s="6"/>
      <c r="D270" s="6"/>
      <c r="E270" s="6">
        <v>1</v>
      </c>
      <c r="F270" s="6">
        <v>1</v>
      </c>
      <c r="G270" s="6"/>
      <c r="H270" s="9" t="str" cm="1">
        <f t="array" ref="H270">_xlfn.IFS(AND(SUM(B270:D270)=0,SUM(E270:G270)&gt;0),"Новый",AND(SUM(B270:D270)&gt;0,SUM(E270:G270)&gt;0),"Действующий",AND(SUM(B270:D270)&gt;0,SUM(E270:G270)=0),"Спящий",AND(SUM(B270:G270)=0),"Ушедший")</f>
        <v>Новый</v>
      </c>
      <c r="I270" s="3">
        <f>IF(AND(SUM(B270:D270)=0,SUM(E270:G270)&gt;0),1,0)</f>
        <v>1</v>
      </c>
      <c r="J270" s="3">
        <f t="shared" si="13"/>
        <v>0</v>
      </c>
      <c r="K270" s="3">
        <f t="shared" si="14"/>
        <v>0</v>
      </c>
      <c r="L270" s="3">
        <f t="shared" si="15"/>
        <v>0</v>
      </c>
      <c r="M270" s="3" t="str" cm="1">
        <f t="array" ref="M270">_xlfn.IFS(I270=1,$I$11,J270=1,$J$11,K270=1,$K$11,L270=1,$L$11)</f>
        <v>Новый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75" customHeight="1" x14ac:dyDescent="0.3">
      <c r="A271" s="6" t="s">
        <v>540</v>
      </c>
      <c r="B271" s="6">
        <v>1</v>
      </c>
      <c r="C271" s="6"/>
      <c r="D271" s="6"/>
      <c r="E271" s="6"/>
      <c r="F271" s="6"/>
      <c r="G271" s="6"/>
      <c r="H271" s="9" t="str" cm="1">
        <f t="array" ref="H271">_xlfn.IFS(AND(SUM(B271:D271)=0,SUM(E271:G271)&gt;0),"Новый",AND(SUM(B271:D271)&gt;0,SUM(E271:G271)&gt;0),"Действующий",AND(SUM(B271:D271)&gt;0,SUM(E271:G271)=0),"Спящий",AND(SUM(B271:G271)=0),"Ушедший")</f>
        <v>Спящий</v>
      </c>
      <c r="I271" s="3">
        <f>IF(AND(SUM(B271:D271)=0,SUM(E271:G271)&gt;0),1,0)</f>
        <v>0</v>
      </c>
      <c r="J271" s="3">
        <f t="shared" si="13"/>
        <v>0</v>
      </c>
      <c r="K271" s="3">
        <f t="shared" si="14"/>
        <v>1</v>
      </c>
      <c r="L271" s="3">
        <f t="shared" si="15"/>
        <v>0</v>
      </c>
      <c r="M271" s="3" t="str" cm="1">
        <f t="array" ref="M271">_xlfn.IFS(I271=1,$I$11,J271=1,$J$11,K271=1,$K$11,L271=1,$L$11)</f>
        <v>Спящий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 x14ac:dyDescent="0.3">
      <c r="A272" s="6" t="s">
        <v>541</v>
      </c>
      <c r="B272" s="6">
        <v>1</v>
      </c>
      <c r="C272" s="6"/>
      <c r="D272" s="6"/>
      <c r="E272" s="6"/>
      <c r="F272" s="6"/>
      <c r="G272" s="6"/>
      <c r="H272" s="9" t="str" cm="1">
        <f t="array" ref="H272">_xlfn.IFS(AND(SUM(B272:D272)=0,SUM(E272:G272)&gt;0),"Новый",AND(SUM(B272:D272)&gt;0,SUM(E272:G272)&gt;0),"Действующий",AND(SUM(B272:D272)&gt;0,SUM(E272:G272)=0),"Спящий",AND(SUM(B272:G272)=0),"Ушедший")</f>
        <v>Спящий</v>
      </c>
      <c r="I272" s="3">
        <f>IF(AND(SUM(B272:D272)=0,SUM(E272:G272)&gt;0),1,0)</f>
        <v>0</v>
      </c>
      <c r="J272" s="3">
        <f t="shared" si="13"/>
        <v>0</v>
      </c>
      <c r="K272" s="3">
        <f t="shared" si="14"/>
        <v>1</v>
      </c>
      <c r="L272" s="3">
        <f t="shared" si="15"/>
        <v>0</v>
      </c>
      <c r="M272" s="3" t="str" cm="1">
        <f t="array" ref="M272">_xlfn.IFS(I272=1,$I$11,J272=1,$J$11,K272=1,$K$11,L272=1,$L$11)</f>
        <v>Спящий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75" customHeight="1" x14ac:dyDescent="0.3">
      <c r="A273" s="6" t="s">
        <v>542</v>
      </c>
      <c r="B273" s="6"/>
      <c r="C273" s="6">
        <v>1</v>
      </c>
      <c r="D273" s="6"/>
      <c r="E273" s="6"/>
      <c r="F273" s="6"/>
      <c r="G273" s="6"/>
      <c r="H273" s="9" t="str" cm="1">
        <f t="array" ref="H273">_xlfn.IFS(AND(SUM(B273:D273)=0,SUM(E273:G273)&gt;0),"Новый",AND(SUM(B273:D273)&gt;0,SUM(E273:G273)&gt;0),"Действующий",AND(SUM(B273:D273)&gt;0,SUM(E273:G273)=0),"Спящий",AND(SUM(B273:G273)=0),"Ушедший")</f>
        <v>Спящий</v>
      </c>
      <c r="I273" s="3">
        <f>IF(AND(SUM(B273:D273)=0,SUM(E273:G273)&gt;0),1,0)</f>
        <v>0</v>
      </c>
      <c r="J273" s="3">
        <f t="shared" si="13"/>
        <v>0</v>
      </c>
      <c r="K273" s="3">
        <f t="shared" si="14"/>
        <v>1</v>
      </c>
      <c r="L273" s="3">
        <f t="shared" si="15"/>
        <v>0</v>
      </c>
      <c r="M273" s="3" t="str" cm="1">
        <f t="array" ref="M273">_xlfn.IFS(I273=1,$I$11,J273=1,$J$11,K273=1,$K$11,L273=1,$L$11)</f>
        <v>Спящий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 x14ac:dyDescent="0.3">
      <c r="A274" s="6" t="s">
        <v>543</v>
      </c>
      <c r="B274" s="6"/>
      <c r="C274" s="6">
        <v>1</v>
      </c>
      <c r="D274" s="6"/>
      <c r="E274" s="6"/>
      <c r="F274" s="6"/>
      <c r="G274" s="6"/>
      <c r="H274" s="9" t="str" cm="1">
        <f t="array" ref="H274">_xlfn.IFS(AND(SUM(B274:D274)=0,SUM(E274:G274)&gt;0),"Новый",AND(SUM(B274:D274)&gt;0,SUM(E274:G274)&gt;0),"Действующий",AND(SUM(B274:D274)&gt;0,SUM(E274:G274)=0),"Спящий",AND(SUM(B274:G274)=0),"Ушедший")</f>
        <v>Спящий</v>
      </c>
      <c r="I274" s="3">
        <f>IF(AND(SUM(B274:D274)=0,SUM(E274:G274)&gt;0),1,0)</f>
        <v>0</v>
      </c>
      <c r="J274" s="3">
        <f t="shared" si="13"/>
        <v>0</v>
      </c>
      <c r="K274" s="3">
        <f t="shared" si="14"/>
        <v>1</v>
      </c>
      <c r="L274" s="3">
        <f t="shared" si="15"/>
        <v>0</v>
      </c>
      <c r="M274" s="3" t="str" cm="1">
        <f t="array" ref="M274">_xlfn.IFS(I274=1,$I$11,J274=1,$J$11,K274=1,$K$11,L274=1,$L$11)</f>
        <v>Спящий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75" customHeight="1" x14ac:dyDescent="0.3">
      <c r="A275" s="6" t="s">
        <v>544</v>
      </c>
      <c r="B275" s="6"/>
      <c r="C275" s="6"/>
      <c r="D275" s="6"/>
      <c r="E275" s="6"/>
      <c r="F275" s="6"/>
      <c r="G275" s="6">
        <v>1</v>
      </c>
      <c r="H275" s="9" t="str" cm="1">
        <f t="array" ref="H275">_xlfn.IFS(AND(SUM(B275:D275)=0,SUM(E275:G275)&gt;0),"Новый",AND(SUM(B275:D275)&gt;0,SUM(E275:G275)&gt;0),"Действующий",AND(SUM(B275:D275)&gt;0,SUM(E275:G275)=0),"Спящий",AND(SUM(B275:G275)=0),"Ушедший")</f>
        <v>Новый</v>
      </c>
      <c r="I275" s="3">
        <f>IF(AND(SUM(B275:D275)=0,SUM(E275:G275)&gt;0),1,0)</f>
        <v>1</v>
      </c>
      <c r="J275" s="3">
        <f t="shared" si="13"/>
        <v>0</v>
      </c>
      <c r="K275" s="3">
        <f t="shared" si="14"/>
        <v>0</v>
      </c>
      <c r="L275" s="3">
        <f t="shared" si="15"/>
        <v>0</v>
      </c>
      <c r="M275" s="3" t="str" cm="1">
        <f t="array" ref="M275">_xlfn.IFS(I275=1,$I$11,J275=1,$J$11,K275=1,$K$11,L275=1,$L$11)</f>
        <v>Новый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 x14ac:dyDescent="0.3">
      <c r="A276" s="6" t="s">
        <v>545</v>
      </c>
      <c r="B276" s="6"/>
      <c r="C276" s="6">
        <v>1</v>
      </c>
      <c r="D276" s="6"/>
      <c r="E276" s="6"/>
      <c r="F276" s="6"/>
      <c r="G276" s="6"/>
      <c r="H276" s="9" t="str" cm="1">
        <f t="array" ref="H276">_xlfn.IFS(AND(SUM(B276:D276)=0,SUM(E276:G276)&gt;0),"Новый",AND(SUM(B276:D276)&gt;0,SUM(E276:G276)&gt;0),"Действующий",AND(SUM(B276:D276)&gt;0,SUM(E276:G276)=0),"Спящий",AND(SUM(B276:G276)=0),"Ушедший")</f>
        <v>Спящий</v>
      </c>
      <c r="I276" s="3">
        <f>IF(AND(SUM(B276:D276)=0,SUM(E276:G276)&gt;0),1,0)</f>
        <v>0</v>
      </c>
      <c r="J276" s="3">
        <f t="shared" si="13"/>
        <v>0</v>
      </c>
      <c r="K276" s="3">
        <f t="shared" si="14"/>
        <v>1</v>
      </c>
      <c r="L276" s="3">
        <f t="shared" si="15"/>
        <v>0</v>
      </c>
      <c r="M276" s="3" t="str" cm="1">
        <f t="array" ref="M276">_xlfn.IFS(I276=1,$I$11,J276=1,$J$11,K276=1,$K$11,L276=1,$L$11)</f>
        <v>Спящий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75" customHeight="1" x14ac:dyDescent="0.3">
      <c r="A277" s="6" t="s">
        <v>546</v>
      </c>
      <c r="B277" s="6"/>
      <c r="C277" s="6"/>
      <c r="D277" s="6">
        <v>1</v>
      </c>
      <c r="E277" s="6"/>
      <c r="F277" s="6"/>
      <c r="G277" s="6"/>
      <c r="H277" s="9" t="str" cm="1">
        <f t="array" ref="H277">_xlfn.IFS(AND(SUM(B277:D277)=0,SUM(E277:G277)&gt;0),"Новый",AND(SUM(B277:D277)&gt;0,SUM(E277:G277)&gt;0),"Действующий",AND(SUM(B277:D277)&gt;0,SUM(E277:G277)=0),"Спящий",AND(SUM(B277:G277)=0),"Ушедший")</f>
        <v>Спящий</v>
      </c>
      <c r="I277" s="3">
        <f>IF(AND(SUM(B277:D277)=0,SUM(E277:G277)&gt;0),1,0)</f>
        <v>0</v>
      </c>
      <c r="J277" s="3">
        <f t="shared" si="13"/>
        <v>0</v>
      </c>
      <c r="K277" s="3">
        <f t="shared" si="14"/>
        <v>1</v>
      </c>
      <c r="L277" s="3">
        <f t="shared" si="15"/>
        <v>0</v>
      </c>
      <c r="M277" s="3" t="str" cm="1">
        <f t="array" ref="M277">_xlfn.IFS(I277=1,$I$11,J277=1,$J$11,K277=1,$K$11,L277=1,$L$11)</f>
        <v>Спящий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 x14ac:dyDescent="0.3">
      <c r="A278" s="6" t="s">
        <v>547</v>
      </c>
      <c r="B278" s="6">
        <v>2</v>
      </c>
      <c r="C278" s="6">
        <v>4</v>
      </c>
      <c r="D278" s="6">
        <v>7</v>
      </c>
      <c r="E278" s="6">
        <v>8</v>
      </c>
      <c r="F278" s="6">
        <v>2</v>
      </c>
      <c r="G278" s="6">
        <v>1</v>
      </c>
      <c r="H278" s="9" t="str" cm="1">
        <f t="array" ref="H278">_xlfn.IFS(AND(SUM(B278:D278)=0,SUM(E278:G278)&gt;0),"Новый",AND(SUM(B278:D278)&gt;0,SUM(E278:G278)&gt;0),"Действующий",AND(SUM(B278:D278)&gt;0,SUM(E278:G278)=0),"Спящий",AND(SUM(B278:G278)=0),"Ушедший")</f>
        <v>Действующий</v>
      </c>
      <c r="I278" s="3">
        <f>IF(AND(SUM(B278:D278)=0,SUM(E278:G278)&gt;0),1,0)</f>
        <v>0</v>
      </c>
      <c r="J278" s="3">
        <f t="shared" si="13"/>
        <v>1</v>
      </c>
      <c r="K278" s="3">
        <f t="shared" si="14"/>
        <v>0</v>
      </c>
      <c r="L278" s="3">
        <f t="shared" si="15"/>
        <v>0</v>
      </c>
      <c r="M278" s="3" t="str" cm="1">
        <f t="array" ref="M278">_xlfn.IFS(I278=1,$I$11,J278=1,$J$11,K278=1,$K$11,L278=1,$L$11)</f>
        <v>Действующий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75" customHeight="1" x14ac:dyDescent="0.3">
      <c r="A279" s="6" t="s">
        <v>548</v>
      </c>
      <c r="B279" s="6">
        <v>3</v>
      </c>
      <c r="C279" s="6">
        <v>3</v>
      </c>
      <c r="D279" s="6">
        <v>1</v>
      </c>
      <c r="E279" s="6">
        <v>3</v>
      </c>
      <c r="F279" s="6"/>
      <c r="G279" s="6">
        <v>3</v>
      </c>
      <c r="H279" s="9" t="str" cm="1">
        <f t="array" ref="H279">_xlfn.IFS(AND(SUM(B279:D279)=0,SUM(E279:G279)&gt;0),"Новый",AND(SUM(B279:D279)&gt;0,SUM(E279:G279)&gt;0),"Действующий",AND(SUM(B279:D279)&gt;0,SUM(E279:G279)=0),"Спящий",AND(SUM(B279:G279)=0),"Ушедший")</f>
        <v>Действующий</v>
      </c>
      <c r="I279" s="3">
        <f>IF(AND(SUM(B279:D279)=0,SUM(E279:G279)&gt;0),1,0)</f>
        <v>0</v>
      </c>
      <c r="J279" s="3">
        <f t="shared" si="13"/>
        <v>1</v>
      </c>
      <c r="K279" s="3">
        <f t="shared" si="14"/>
        <v>0</v>
      </c>
      <c r="L279" s="3">
        <f t="shared" si="15"/>
        <v>0</v>
      </c>
      <c r="M279" s="3" t="str" cm="1">
        <f t="array" ref="M279">_xlfn.IFS(I279=1,$I$11,J279=1,$J$11,K279=1,$K$11,L279=1,$L$11)</f>
        <v>Действующий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 x14ac:dyDescent="0.3">
      <c r="A280" s="6" t="s">
        <v>549</v>
      </c>
      <c r="B280" s="6">
        <v>1</v>
      </c>
      <c r="C280" s="6"/>
      <c r="D280" s="6"/>
      <c r="E280" s="6"/>
      <c r="F280" s="6"/>
      <c r="G280" s="6"/>
      <c r="H280" s="9" t="str" cm="1">
        <f t="array" ref="H280">_xlfn.IFS(AND(SUM(B280:D280)=0,SUM(E280:G280)&gt;0),"Новый",AND(SUM(B280:D280)&gt;0,SUM(E280:G280)&gt;0),"Действующий",AND(SUM(B280:D280)&gt;0,SUM(E280:G280)=0),"Спящий",AND(SUM(B280:G280)=0),"Ушедший")</f>
        <v>Спящий</v>
      </c>
      <c r="I280" s="3">
        <f>IF(AND(SUM(B280:D280)=0,SUM(E280:G280)&gt;0),1,0)</f>
        <v>0</v>
      </c>
      <c r="J280" s="3">
        <f t="shared" si="13"/>
        <v>0</v>
      </c>
      <c r="K280" s="3">
        <f t="shared" si="14"/>
        <v>1</v>
      </c>
      <c r="L280" s="3">
        <f t="shared" si="15"/>
        <v>0</v>
      </c>
      <c r="M280" s="3" t="str" cm="1">
        <f t="array" ref="M280">_xlfn.IFS(I280=1,$I$11,J280=1,$J$11,K280=1,$K$11,L280=1,$L$11)</f>
        <v>Спящий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75" customHeight="1" x14ac:dyDescent="0.3">
      <c r="A281" s="6" t="s">
        <v>550</v>
      </c>
      <c r="B281" s="6">
        <v>5</v>
      </c>
      <c r="C281" s="6">
        <v>2</v>
      </c>
      <c r="D281" s="6">
        <v>6</v>
      </c>
      <c r="E281" s="6">
        <v>12</v>
      </c>
      <c r="F281" s="6">
        <v>9</v>
      </c>
      <c r="G281" s="6">
        <v>11</v>
      </c>
      <c r="H281" s="9" t="str" cm="1">
        <f t="array" ref="H281">_xlfn.IFS(AND(SUM(B281:D281)=0,SUM(E281:G281)&gt;0),"Новый",AND(SUM(B281:D281)&gt;0,SUM(E281:G281)&gt;0),"Действующий",AND(SUM(B281:D281)&gt;0,SUM(E281:G281)=0),"Спящий",AND(SUM(B281:G281)=0),"Ушедший")</f>
        <v>Действующий</v>
      </c>
      <c r="I281" s="3">
        <f>IF(AND(SUM(B281:D281)=0,SUM(E281:G281)&gt;0),1,0)</f>
        <v>0</v>
      </c>
      <c r="J281" s="3">
        <f t="shared" si="13"/>
        <v>1</v>
      </c>
      <c r="K281" s="3">
        <f t="shared" si="14"/>
        <v>0</v>
      </c>
      <c r="L281" s="3">
        <f t="shared" si="15"/>
        <v>0</v>
      </c>
      <c r="M281" s="3" t="str" cm="1">
        <f t="array" ref="M281">_xlfn.IFS(I281=1,$I$11,J281=1,$J$11,K281=1,$K$11,L281=1,$L$11)</f>
        <v>Действующий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 x14ac:dyDescent="0.3">
      <c r="A282" s="6" t="s">
        <v>551</v>
      </c>
      <c r="B282" s="6"/>
      <c r="C282" s="6">
        <v>1</v>
      </c>
      <c r="D282" s="6">
        <v>1</v>
      </c>
      <c r="E282" s="6"/>
      <c r="F282" s="6">
        <v>1</v>
      </c>
      <c r="G282" s="6"/>
      <c r="H282" s="9" t="str" cm="1">
        <f t="array" ref="H282">_xlfn.IFS(AND(SUM(B282:D282)=0,SUM(E282:G282)&gt;0),"Новый",AND(SUM(B282:D282)&gt;0,SUM(E282:G282)&gt;0),"Действующий",AND(SUM(B282:D282)&gt;0,SUM(E282:G282)=0),"Спящий",AND(SUM(B282:G282)=0),"Ушедший")</f>
        <v>Действующий</v>
      </c>
      <c r="I282" s="3">
        <f>IF(AND(SUM(B282:D282)=0,SUM(E282:G282)&gt;0),1,0)</f>
        <v>0</v>
      </c>
      <c r="J282" s="3">
        <f t="shared" si="13"/>
        <v>1</v>
      </c>
      <c r="K282" s="3">
        <f t="shared" si="14"/>
        <v>0</v>
      </c>
      <c r="L282" s="3">
        <f t="shared" si="15"/>
        <v>0</v>
      </c>
      <c r="M282" s="3" t="str" cm="1">
        <f t="array" ref="M282">_xlfn.IFS(I282=1,$I$11,J282=1,$J$11,K282=1,$K$11,L282=1,$L$11)</f>
        <v>Действующий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75" customHeight="1" x14ac:dyDescent="0.3">
      <c r="A283" s="6" t="s">
        <v>552</v>
      </c>
      <c r="B283" s="6">
        <v>1</v>
      </c>
      <c r="C283" s="6"/>
      <c r="D283" s="6">
        <v>1</v>
      </c>
      <c r="E283" s="6"/>
      <c r="F283" s="6"/>
      <c r="G283" s="6"/>
      <c r="H283" s="9" t="str" cm="1">
        <f t="array" ref="H283">_xlfn.IFS(AND(SUM(B283:D283)=0,SUM(E283:G283)&gt;0),"Новый",AND(SUM(B283:D283)&gt;0,SUM(E283:G283)&gt;0),"Действующий",AND(SUM(B283:D283)&gt;0,SUM(E283:G283)=0),"Спящий",AND(SUM(B283:G283)=0),"Ушедший")</f>
        <v>Спящий</v>
      </c>
      <c r="I283" s="3">
        <f>IF(AND(SUM(B283:D283)=0,SUM(E283:G283)&gt;0),1,0)</f>
        <v>0</v>
      </c>
      <c r="J283" s="3">
        <f t="shared" si="13"/>
        <v>0</v>
      </c>
      <c r="K283" s="3">
        <f t="shared" si="14"/>
        <v>1</v>
      </c>
      <c r="L283" s="3">
        <f t="shared" si="15"/>
        <v>0</v>
      </c>
      <c r="M283" s="3" t="str" cm="1">
        <f t="array" ref="M283">_xlfn.IFS(I283=1,$I$11,J283=1,$J$11,K283=1,$K$11,L283=1,$L$11)</f>
        <v>Спящий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 x14ac:dyDescent="0.3">
      <c r="A284" s="6" t="s">
        <v>553</v>
      </c>
      <c r="B284" s="6">
        <v>4</v>
      </c>
      <c r="C284" s="6">
        <v>3</v>
      </c>
      <c r="D284" s="6">
        <v>5</v>
      </c>
      <c r="E284" s="6">
        <v>5</v>
      </c>
      <c r="F284" s="6">
        <v>4</v>
      </c>
      <c r="G284" s="6">
        <v>7</v>
      </c>
      <c r="H284" s="9" t="str" cm="1">
        <f t="array" ref="H284">_xlfn.IFS(AND(SUM(B284:D284)=0,SUM(E284:G284)&gt;0),"Новый",AND(SUM(B284:D284)&gt;0,SUM(E284:G284)&gt;0),"Действующий",AND(SUM(B284:D284)&gt;0,SUM(E284:G284)=0),"Спящий",AND(SUM(B284:G284)=0),"Ушедший")</f>
        <v>Действующий</v>
      </c>
      <c r="I284" s="3">
        <f>IF(AND(SUM(B284:D284)=0,SUM(E284:G284)&gt;0),1,0)</f>
        <v>0</v>
      </c>
      <c r="J284" s="3">
        <f t="shared" si="13"/>
        <v>1</v>
      </c>
      <c r="K284" s="3">
        <f t="shared" si="14"/>
        <v>0</v>
      </c>
      <c r="L284" s="3">
        <f t="shared" si="15"/>
        <v>0</v>
      </c>
      <c r="M284" s="3" t="str" cm="1">
        <f t="array" ref="M284">_xlfn.IFS(I284=1,$I$11,J284=1,$J$11,K284=1,$K$11,L284=1,$L$11)</f>
        <v>Действующий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75" customHeight="1" x14ac:dyDescent="0.3">
      <c r="A285" s="6" t="s">
        <v>554</v>
      </c>
      <c r="B285" s="6">
        <v>1</v>
      </c>
      <c r="C285" s="6">
        <v>1</v>
      </c>
      <c r="D285" s="6"/>
      <c r="E285" s="6"/>
      <c r="F285" s="6"/>
      <c r="G285" s="6"/>
      <c r="H285" s="9" t="str" cm="1">
        <f t="array" ref="H285">_xlfn.IFS(AND(SUM(B285:D285)=0,SUM(E285:G285)&gt;0),"Новый",AND(SUM(B285:D285)&gt;0,SUM(E285:G285)&gt;0),"Действующий",AND(SUM(B285:D285)&gt;0,SUM(E285:G285)=0),"Спящий",AND(SUM(B285:G285)=0),"Ушедший")</f>
        <v>Спящий</v>
      </c>
      <c r="I285" s="3">
        <f>IF(AND(SUM(B285:D285)=0,SUM(E285:G285)&gt;0),1,0)</f>
        <v>0</v>
      </c>
      <c r="J285" s="3">
        <f t="shared" si="13"/>
        <v>0</v>
      </c>
      <c r="K285" s="3">
        <f t="shared" si="14"/>
        <v>1</v>
      </c>
      <c r="L285" s="3">
        <f t="shared" si="15"/>
        <v>0</v>
      </c>
      <c r="M285" s="3" t="str" cm="1">
        <f t="array" ref="M285">_xlfn.IFS(I285=1,$I$11,J285=1,$J$11,K285=1,$K$11,L285=1,$L$11)</f>
        <v>Спящий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 x14ac:dyDescent="0.3">
      <c r="A286" s="6" t="s">
        <v>555</v>
      </c>
      <c r="B286" s="6"/>
      <c r="C286" s="6"/>
      <c r="D286" s="6">
        <v>1</v>
      </c>
      <c r="E286" s="6">
        <v>1</v>
      </c>
      <c r="F286" s="6"/>
      <c r="G286" s="6">
        <v>1</v>
      </c>
      <c r="H286" s="9" t="str" cm="1">
        <f t="array" ref="H286">_xlfn.IFS(AND(SUM(B286:D286)=0,SUM(E286:G286)&gt;0),"Новый",AND(SUM(B286:D286)&gt;0,SUM(E286:G286)&gt;0),"Действующий",AND(SUM(B286:D286)&gt;0,SUM(E286:G286)=0),"Спящий",AND(SUM(B286:G286)=0),"Ушедший")</f>
        <v>Действующий</v>
      </c>
      <c r="I286" s="3">
        <f>IF(AND(SUM(B286:D286)=0,SUM(E286:G286)&gt;0),1,0)</f>
        <v>0</v>
      </c>
      <c r="J286" s="3">
        <f t="shared" si="13"/>
        <v>1</v>
      </c>
      <c r="K286" s="3">
        <f t="shared" si="14"/>
        <v>0</v>
      </c>
      <c r="L286" s="3">
        <f t="shared" si="15"/>
        <v>0</v>
      </c>
      <c r="M286" s="3" t="str" cm="1">
        <f t="array" ref="M286">_xlfn.IFS(I286=1,$I$11,J286=1,$J$11,K286=1,$K$11,L286=1,$L$11)</f>
        <v>Действующий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75" customHeight="1" x14ac:dyDescent="0.3">
      <c r="A287" s="6" t="s">
        <v>556</v>
      </c>
      <c r="B287" s="6"/>
      <c r="C287" s="6"/>
      <c r="D287" s="6">
        <v>1</v>
      </c>
      <c r="E287" s="6"/>
      <c r="F287" s="6"/>
      <c r="G287" s="6"/>
      <c r="H287" s="9" t="str" cm="1">
        <f t="array" ref="H287">_xlfn.IFS(AND(SUM(B287:D287)=0,SUM(E287:G287)&gt;0),"Новый",AND(SUM(B287:D287)&gt;0,SUM(E287:G287)&gt;0),"Действующий",AND(SUM(B287:D287)&gt;0,SUM(E287:G287)=0),"Спящий",AND(SUM(B287:G287)=0),"Ушедший")</f>
        <v>Спящий</v>
      </c>
      <c r="I287" s="3">
        <f>IF(AND(SUM(B287:D287)=0,SUM(E287:G287)&gt;0),1,0)</f>
        <v>0</v>
      </c>
      <c r="J287" s="3">
        <f t="shared" si="13"/>
        <v>0</v>
      </c>
      <c r="K287" s="3">
        <f t="shared" si="14"/>
        <v>1</v>
      </c>
      <c r="L287" s="3">
        <f t="shared" si="15"/>
        <v>0</v>
      </c>
      <c r="M287" s="3" t="str" cm="1">
        <f t="array" ref="M287">_xlfn.IFS(I287=1,$I$11,J287=1,$J$11,K287=1,$K$11,L287=1,$L$11)</f>
        <v>Спящий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 x14ac:dyDescent="0.3">
      <c r="A288" s="6" t="s">
        <v>557</v>
      </c>
      <c r="B288" s="6">
        <v>1</v>
      </c>
      <c r="C288" s="6">
        <v>1</v>
      </c>
      <c r="D288" s="6">
        <v>1</v>
      </c>
      <c r="E288" s="6">
        <v>1</v>
      </c>
      <c r="F288" s="6">
        <v>1</v>
      </c>
      <c r="G288" s="6">
        <v>1</v>
      </c>
      <c r="H288" s="9" t="str" cm="1">
        <f t="array" ref="H288">_xlfn.IFS(AND(SUM(B288:D288)=0,SUM(E288:G288)&gt;0),"Новый",AND(SUM(B288:D288)&gt;0,SUM(E288:G288)&gt;0),"Действующий",AND(SUM(B288:D288)&gt;0,SUM(E288:G288)=0),"Спящий",AND(SUM(B288:G288)=0),"Ушедший")</f>
        <v>Действующий</v>
      </c>
      <c r="I288" s="3">
        <f>IF(AND(SUM(B288:D288)=0,SUM(E288:G288)&gt;0),1,0)</f>
        <v>0</v>
      </c>
      <c r="J288" s="3">
        <f t="shared" si="13"/>
        <v>1</v>
      </c>
      <c r="K288" s="3">
        <f t="shared" si="14"/>
        <v>0</v>
      </c>
      <c r="L288" s="3">
        <f t="shared" si="15"/>
        <v>0</v>
      </c>
      <c r="M288" s="3" t="str" cm="1">
        <f t="array" ref="M288">_xlfn.IFS(I288=1,$I$11,J288=1,$J$11,K288=1,$K$11,L288=1,$L$11)</f>
        <v>Действующий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75" customHeight="1" x14ac:dyDescent="0.3">
      <c r="A289" s="6" t="s">
        <v>558</v>
      </c>
      <c r="B289" s="6"/>
      <c r="C289" s="6"/>
      <c r="D289" s="6"/>
      <c r="E289" s="6"/>
      <c r="F289" s="6">
        <v>1</v>
      </c>
      <c r="G289" s="6"/>
      <c r="H289" s="9" t="str" cm="1">
        <f t="array" ref="H289">_xlfn.IFS(AND(SUM(B289:D289)=0,SUM(E289:G289)&gt;0),"Новый",AND(SUM(B289:D289)&gt;0,SUM(E289:G289)&gt;0),"Действующий",AND(SUM(B289:D289)&gt;0,SUM(E289:G289)=0),"Спящий",AND(SUM(B289:G289)=0),"Ушедший")</f>
        <v>Новый</v>
      </c>
      <c r="I289" s="3">
        <f>IF(AND(SUM(B289:D289)=0,SUM(E289:G289)&gt;0),1,0)</f>
        <v>1</v>
      </c>
      <c r="J289" s="3">
        <f t="shared" si="13"/>
        <v>0</v>
      </c>
      <c r="K289" s="3">
        <f t="shared" si="14"/>
        <v>0</v>
      </c>
      <c r="L289" s="3">
        <f t="shared" si="15"/>
        <v>0</v>
      </c>
      <c r="M289" s="3" t="str" cm="1">
        <f t="array" ref="M289">_xlfn.IFS(I289=1,$I$11,J289=1,$J$11,K289=1,$K$11,L289=1,$L$11)</f>
        <v>Новый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 x14ac:dyDescent="0.3">
      <c r="A290" s="6" t="s">
        <v>559</v>
      </c>
      <c r="B290" s="6"/>
      <c r="C290" s="6"/>
      <c r="D290" s="6">
        <v>1</v>
      </c>
      <c r="E290" s="6"/>
      <c r="F290" s="6">
        <v>1</v>
      </c>
      <c r="G290" s="6"/>
      <c r="H290" s="9" t="str" cm="1">
        <f t="array" ref="H290">_xlfn.IFS(AND(SUM(B290:D290)=0,SUM(E290:G290)&gt;0),"Новый",AND(SUM(B290:D290)&gt;0,SUM(E290:G290)&gt;0),"Действующий",AND(SUM(B290:D290)&gt;0,SUM(E290:G290)=0),"Спящий",AND(SUM(B290:G290)=0),"Ушедший")</f>
        <v>Действующий</v>
      </c>
      <c r="I290" s="3">
        <f>IF(AND(SUM(B290:D290)=0,SUM(E290:G290)&gt;0),1,0)</f>
        <v>0</v>
      </c>
      <c r="J290" s="3">
        <f t="shared" si="13"/>
        <v>1</v>
      </c>
      <c r="K290" s="3">
        <f t="shared" si="14"/>
        <v>0</v>
      </c>
      <c r="L290" s="3">
        <f t="shared" si="15"/>
        <v>0</v>
      </c>
      <c r="M290" s="3" t="str" cm="1">
        <f t="array" ref="M290">_xlfn.IFS(I290=1,$I$11,J290=1,$J$11,K290=1,$K$11,L290=1,$L$11)</f>
        <v>Действующий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75" customHeight="1" x14ac:dyDescent="0.3">
      <c r="A291" s="6" t="s">
        <v>560</v>
      </c>
      <c r="B291" s="6"/>
      <c r="C291" s="6"/>
      <c r="D291" s="6">
        <v>2</v>
      </c>
      <c r="E291" s="6"/>
      <c r="F291" s="6"/>
      <c r="G291" s="6"/>
      <c r="H291" s="9" t="str" cm="1">
        <f t="array" ref="H291">_xlfn.IFS(AND(SUM(B291:D291)=0,SUM(E291:G291)&gt;0),"Новый",AND(SUM(B291:D291)&gt;0,SUM(E291:G291)&gt;0),"Действующий",AND(SUM(B291:D291)&gt;0,SUM(E291:G291)=0),"Спящий",AND(SUM(B291:G291)=0),"Ушедший")</f>
        <v>Спящий</v>
      </c>
      <c r="I291" s="3">
        <f>IF(AND(SUM(B291:D291)=0,SUM(E291:G291)&gt;0),1,0)</f>
        <v>0</v>
      </c>
      <c r="J291" s="3">
        <f t="shared" si="13"/>
        <v>0</v>
      </c>
      <c r="K291" s="3">
        <f t="shared" si="14"/>
        <v>1</v>
      </c>
      <c r="L291" s="3">
        <f t="shared" si="15"/>
        <v>0</v>
      </c>
      <c r="M291" s="3" t="str" cm="1">
        <f t="array" ref="M291">_xlfn.IFS(I291=1,$I$11,J291=1,$J$11,K291=1,$K$11,L291=1,$L$11)</f>
        <v>Спящий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 x14ac:dyDescent="0.3">
      <c r="A292" s="6" t="s">
        <v>561</v>
      </c>
      <c r="B292" s="6"/>
      <c r="C292" s="6"/>
      <c r="D292" s="6"/>
      <c r="E292" s="6"/>
      <c r="F292" s="6">
        <v>1</v>
      </c>
      <c r="G292" s="6"/>
      <c r="H292" s="9" t="str" cm="1">
        <f t="array" ref="H292">_xlfn.IFS(AND(SUM(B292:D292)=0,SUM(E292:G292)&gt;0),"Новый",AND(SUM(B292:D292)&gt;0,SUM(E292:G292)&gt;0),"Действующий",AND(SUM(B292:D292)&gt;0,SUM(E292:G292)=0),"Спящий",AND(SUM(B292:G292)=0),"Ушедший")</f>
        <v>Новый</v>
      </c>
      <c r="I292" s="3">
        <f>IF(AND(SUM(B292:D292)=0,SUM(E292:G292)&gt;0),1,0)</f>
        <v>1</v>
      </c>
      <c r="J292" s="3">
        <f t="shared" si="13"/>
        <v>0</v>
      </c>
      <c r="K292" s="3">
        <f t="shared" si="14"/>
        <v>0</v>
      </c>
      <c r="L292" s="3">
        <f t="shared" si="15"/>
        <v>0</v>
      </c>
      <c r="M292" s="3" t="str" cm="1">
        <f t="array" ref="M292">_xlfn.IFS(I292=1,$I$11,J292=1,$J$11,K292=1,$K$11,L292=1,$L$11)</f>
        <v>Новый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75" customHeight="1" x14ac:dyDescent="0.3">
      <c r="A293" s="6" t="s">
        <v>562</v>
      </c>
      <c r="B293" s="6"/>
      <c r="C293" s="6">
        <v>1</v>
      </c>
      <c r="D293" s="6"/>
      <c r="E293" s="6"/>
      <c r="F293" s="6"/>
      <c r="G293" s="6"/>
      <c r="H293" s="9" t="str" cm="1">
        <f t="array" ref="H293">_xlfn.IFS(AND(SUM(B293:D293)=0,SUM(E293:G293)&gt;0),"Новый",AND(SUM(B293:D293)&gt;0,SUM(E293:G293)&gt;0),"Действующий",AND(SUM(B293:D293)&gt;0,SUM(E293:G293)=0),"Спящий",AND(SUM(B293:G293)=0),"Ушедший")</f>
        <v>Спящий</v>
      </c>
      <c r="I293" s="3">
        <f>IF(AND(SUM(B293:D293)=0,SUM(E293:G293)&gt;0),1,0)</f>
        <v>0</v>
      </c>
      <c r="J293" s="3">
        <f t="shared" si="13"/>
        <v>0</v>
      </c>
      <c r="K293" s="3">
        <f t="shared" si="14"/>
        <v>1</v>
      </c>
      <c r="L293" s="3">
        <f t="shared" si="15"/>
        <v>0</v>
      </c>
      <c r="M293" s="3" t="str" cm="1">
        <f t="array" ref="M293">_xlfn.IFS(I293=1,$I$11,J293=1,$J$11,K293=1,$K$11,L293=1,$L$11)</f>
        <v>Спящий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 x14ac:dyDescent="0.3">
      <c r="A294" s="6" t="s">
        <v>563</v>
      </c>
      <c r="B294" s="6">
        <v>2</v>
      </c>
      <c r="C294" s="6"/>
      <c r="D294" s="6">
        <v>1</v>
      </c>
      <c r="E294" s="6"/>
      <c r="F294" s="6"/>
      <c r="G294" s="6"/>
      <c r="H294" s="9" t="str" cm="1">
        <f t="array" ref="H294">_xlfn.IFS(AND(SUM(B294:D294)=0,SUM(E294:G294)&gt;0),"Новый",AND(SUM(B294:D294)&gt;0,SUM(E294:G294)&gt;0),"Действующий",AND(SUM(B294:D294)&gt;0,SUM(E294:G294)=0),"Спящий",AND(SUM(B294:G294)=0),"Ушедший")</f>
        <v>Спящий</v>
      </c>
      <c r="I294" s="3">
        <f>IF(AND(SUM(B294:D294)=0,SUM(E294:G294)&gt;0),1,0)</f>
        <v>0</v>
      </c>
      <c r="J294" s="3">
        <f t="shared" si="13"/>
        <v>0</v>
      </c>
      <c r="K294" s="3">
        <f t="shared" si="14"/>
        <v>1</v>
      </c>
      <c r="L294" s="3">
        <f t="shared" si="15"/>
        <v>0</v>
      </c>
      <c r="M294" s="3" t="str" cm="1">
        <f t="array" ref="M294">_xlfn.IFS(I294=1,$I$11,J294=1,$J$11,K294=1,$K$11,L294=1,$L$11)</f>
        <v>Спящий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75" customHeight="1" x14ac:dyDescent="0.3">
      <c r="A295" s="6" t="s">
        <v>564</v>
      </c>
      <c r="B295" s="6"/>
      <c r="C295" s="6"/>
      <c r="D295" s="6"/>
      <c r="E295" s="6">
        <v>1</v>
      </c>
      <c r="F295" s="6"/>
      <c r="G295" s="6"/>
      <c r="H295" s="9" t="str" cm="1">
        <f t="array" ref="H295">_xlfn.IFS(AND(SUM(B295:D295)=0,SUM(E295:G295)&gt;0),"Новый",AND(SUM(B295:D295)&gt;0,SUM(E295:G295)&gt;0),"Действующий",AND(SUM(B295:D295)&gt;0,SUM(E295:G295)=0),"Спящий",AND(SUM(B295:G295)=0),"Ушедший")</f>
        <v>Новый</v>
      </c>
      <c r="I295" s="3">
        <f>IF(AND(SUM(B295:D295)=0,SUM(E295:G295)&gt;0),1,0)</f>
        <v>1</v>
      </c>
      <c r="J295" s="3">
        <f t="shared" si="13"/>
        <v>0</v>
      </c>
      <c r="K295" s="3">
        <f t="shared" si="14"/>
        <v>0</v>
      </c>
      <c r="L295" s="3">
        <f t="shared" si="15"/>
        <v>0</v>
      </c>
      <c r="M295" s="3" t="str" cm="1">
        <f t="array" ref="M295">_xlfn.IFS(I295=1,$I$11,J295=1,$J$11,K295=1,$K$11,L295=1,$L$11)</f>
        <v>Новый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 x14ac:dyDescent="0.3">
      <c r="A296" s="6" t="s">
        <v>565</v>
      </c>
      <c r="B296" s="6"/>
      <c r="C296" s="6"/>
      <c r="D296" s="6"/>
      <c r="E296" s="6">
        <v>1</v>
      </c>
      <c r="F296" s="6"/>
      <c r="G296" s="6"/>
      <c r="H296" s="9" t="str" cm="1">
        <f t="array" ref="H296">_xlfn.IFS(AND(SUM(B296:D296)=0,SUM(E296:G296)&gt;0),"Новый",AND(SUM(B296:D296)&gt;0,SUM(E296:G296)&gt;0),"Действующий",AND(SUM(B296:D296)&gt;0,SUM(E296:G296)=0),"Спящий",AND(SUM(B296:G296)=0),"Ушедший")</f>
        <v>Новый</v>
      </c>
      <c r="I296" s="3">
        <f>IF(AND(SUM(B296:D296)=0,SUM(E296:G296)&gt;0),1,0)</f>
        <v>1</v>
      </c>
      <c r="J296" s="3">
        <f t="shared" si="13"/>
        <v>0</v>
      </c>
      <c r="K296" s="3">
        <f t="shared" si="14"/>
        <v>0</v>
      </c>
      <c r="L296" s="3">
        <f t="shared" si="15"/>
        <v>0</v>
      </c>
      <c r="M296" s="3" t="str" cm="1">
        <f t="array" ref="M296">_xlfn.IFS(I296=1,$I$11,J296=1,$J$11,K296=1,$K$11,L296=1,$L$11)</f>
        <v>Новый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75" customHeight="1" x14ac:dyDescent="0.3">
      <c r="A297" s="6" t="s">
        <v>566</v>
      </c>
      <c r="B297" s="6"/>
      <c r="C297" s="6">
        <v>1</v>
      </c>
      <c r="D297" s="6"/>
      <c r="E297" s="6"/>
      <c r="F297" s="6"/>
      <c r="G297" s="6"/>
      <c r="H297" s="9" t="str" cm="1">
        <f t="array" ref="H297">_xlfn.IFS(AND(SUM(B297:D297)=0,SUM(E297:G297)&gt;0),"Новый",AND(SUM(B297:D297)&gt;0,SUM(E297:G297)&gt;0),"Действующий",AND(SUM(B297:D297)&gt;0,SUM(E297:G297)=0),"Спящий",AND(SUM(B297:G297)=0),"Ушедший")</f>
        <v>Спящий</v>
      </c>
      <c r="I297" s="3">
        <f>IF(AND(SUM(B297:D297)=0,SUM(E297:G297)&gt;0),1,0)</f>
        <v>0</v>
      </c>
      <c r="J297" s="3">
        <f t="shared" si="13"/>
        <v>0</v>
      </c>
      <c r="K297" s="3">
        <f t="shared" si="14"/>
        <v>1</v>
      </c>
      <c r="L297" s="3">
        <f t="shared" si="15"/>
        <v>0</v>
      </c>
      <c r="M297" s="3" t="str" cm="1">
        <f t="array" ref="M297">_xlfn.IFS(I297=1,$I$11,J297=1,$J$11,K297=1,$K$11,L297=1,$L$11)</f>
        <v>Спящий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 x14ac:dyDescent="0.3">
      <c r="A298" s="6" t="s">
        <v>567</v>
      </c>
      <c r="B298" s="6"/>
      <c r="C298" s="6"/>
      <c r="D298" s="6">
        <v>1</v>
      </c>
      <c r="E298" s="6"/>
      <c r="F298" s="6"/>
      <c r="G298" s="6"/>
      <c r="H298" s="9" t="str" cm="1">
        <f t="array" ref="H298">_xlfn.IFS(AND(SUM(B298:D298)=0,SUM(E298:G298)&gt;0),"Новый",AND(SUM(B298:D298)&gt;0,SUM(E298:G298)&gt;0),"Действующий",AND(SUM(B298:D298)&gt;0,SUM(E298:G298)=0),"Спящий",AND(SUM(B298:G298)=0),"Ушедший")</f>
        <v>Спящий</v>
      </c>
      <c r="I298" s="3">
        <f>IF(AND(SUM(B298:D298)=0,SUM(E298:G298)&gt;0),1,0)</f>
        <v>0</v>
      </c>
      <c r="J298" s="3">
        <f t="shared" si="13"/>
        <v>0</v>
      </c>
      <c r="K298" s="3">
        <f t="shared" si="14"/>
        <v>1</v>
      </c>
      <c r="L298" s="3">
        <f t="shared" si="15"/>
        <v>0</v>
      </c>
      <c r="M298" s="3" t="str" cm="1">
        <f t="array" ref="M298">_xlfn.IFS(I298=1,$I$11,J298=1,$J$11,K298=1,$K$11,L298=1,$L$11)</f>
        <v>Спящий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75" customHeight="1" x14ac:dyDescent="0.3">
      <c r="A299" s="6" t="s">
        <v>568</v>
      </c>
      <c r="B299" s="6"/>
      <c r="C299" s="6">
        <v>1</v>
      </c>
      <c r="D299" s="6"/>
      <c r="E299" s="6"/>
      <c r="F299" s="6">
        <v>1</v>
      </c>
      <c r="G299" s="6"/>
      <c r="H299" s="9" t="str" cm="1">
        <f t="array" ref="H299">_xlfn.IFS(AND(SUM(B299:D299)=0,SUM(E299:G299)&gt;0),"Новый",AND(SUM(B299:D299)&gt;0,SUM(E299:G299)&gt;0),"Действующий",AND(SUM(B299:D299)&gt;0,SUM(E299:G299)=0),"Спящий",AND(SUM(B299:G299)=0),"Ушедший")</f>
        <v>Действующий</v>
      </c>
      <c r="I299" s="3">
        <f>IF(AND(SUM(B299:D299)=0,SUM(E299:G299)&gt;0),1,0)</f>
        <v>0</v>
      </c>
      <c r="J299" s="3">
        <f t="shared" si="13"/>
        <v>1</v>
      </c>
      <c r="K299" s="3">
        <f t="shared" si="14"/>
        <v>0</v>
      </c>
      <c r="L299" s="3">
        <f t="shared" si="15"/>
        <v>0</v>
      </c>
      <c r="M299" s="3" t="str" cm="1">
        <f t="array" ref="M299">_xlfn.IFS(I299=1,$I$11,J299=1,$J$11,K299=1,$K$11,L299=1,$L$11)</f>
        <v>Действующий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 x14ac:dyDescent="0.3">
      <c r="A300" s="6" t="s">
        <v>569</v>
      </c>
      <c r="B300" s="6"/>
      <c r="C300" s="6"/>
      <c r="D300" s="6"/>
      <c r="E300" s="6"/>
      <c r="F300" s="6"/>
      <c r="G300" s="6">
        <v>1</v>
      </c>
      <c r="H300" s="9" t="str" cm="1">
        <f t="array" ref="H300">_xlfn.IFS(AND(SUM(B300:D300)=0,SUM(E300:G300)&gt;0),"Новый",AND(SUM(B300:D300)&gt;0,SUM(E300:G300)&gt;0),"Действующий",AND(SUM(B300:D300)&gt;0,SUM(E300:G300)=0),"Спящий",AND(SUM(B300:G300)=0),"Ушедший")</f>
        <v>Новый</v>
      </c>
      <c r="I300" s="3">
        <f>IF(AND(SUM(B300:D300)=0,SUM(E300:G300)&gt;0),1,0)</f>
        <v>1</v>
      </c>
      <c r="J300" s="3">
        <f t="shared" si="13"/>
        <v>0</v>
      </c>
      <c r="K300" s="3">
        <f t="shared" si="14"/>
        <v>0</v>
      </c>
      <c r="L300" s="3">
        <f t="shared" si="15"/>
        <v>0</v>
      </c>
      <c r="M300" s="3" t="str" cm="1">
        <f t="array" ref="M300">_xlfn.IFS(I300=1,$I$11,J300=1,$J$11,K300=1,$K$11,L300=1,$L$11)</f>
        <v>Новый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75" customHeight="1" x14ac:dyDescent="0.3">
      <c r="A301" s="6" t="s">
        <v>570</v>
      </c>
      <c r="B301" s="6"/>
      <c r="C301" s="6"/>
      <c r="D301" s="6"/>
      <c r="E301" s="6">
        <v>1</v>
      </c>
      <c r="F301" s="6"/>
      <c r="G301" s="6"/>
      <c r="H301" s="9" t="str" cm="1">
        <f t="array" ref="H301">_xlfn.IFS(AND(SUM(B301:D301)=0,SUM(E301:G301)&gt;0),"Новый",AND(SUM(B301:D301)&gt;0,SUM(E301:G301)&gt;0),"Действующий",AND(SUM(B301:D301)&gt;0,SUM(E301:G301)=0),"Спящий",AND(SUM(B301:G301)=0),"Ушедший")</f>
        <v>Новый</v>
      </c>
      <c r="I301" s="3">
        <f>IF(AND(SUM(B301:D301)=0,SUM(E301:G301)&gt;0),1,0)</f>
        <v>1</v>
      </c>
      <c r="J301" s="3">
        <f t="shared" si="13"/>
        <v>0</v>
      </c>
      <c r="K301" s="3">
        <f t="shared" si="14"/>
        <v>0</v>
      </c>
      <c r="L301" s="3">
        <f t="shared" si="15"/>
        <v>0</v>
      </c>
      <c r="M301" s="3" t="str" cm="1">
        <f t="array" ref="M301">_xlfn.IFS(I301=1,$I$11,J301=1,$J$11,K301=1,$K$11,L301=1,$L$11)</f>
        <v>Новый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 x14ac:dyDescent="0.3">
      <c r="A302" s="6" t="s">
        <v>571</v>
      </c>
      <c r="B302" s="6"/>
      <c r="C302" s="6">
        <v>1</v>
      </c>
      <c r="D302" s="6"/>
      <c r="E302" s="6"/>
      <c r="F302" s="6"/>
      <c r="G302" s="6"/>
      <c r="H302" s="9" t="str" cm="1">
        <f t="array" ref="H302">_xlfn.IFS(AND(SUM(B302:D302)=0,SUM(E302:G302)&gt;0),"Новый",AND(SUM(B302:D302)&gt;0,SUM(E302:G302)&gt;0),"Действующий",AND(SUM(B302:D302)&gt;0,SUM(E302:G302)=0),"Спящий",AND(SUM(B302:G302)=0),"Ушедший")</f>
        <v>Спящий</v>
      </c>
      <c r="I302" s="3">
        <f>IF(AND(SUM(B302:D302)=0,SUM(E302:G302)&gt;0),1,0)</f>
        <v>0</v>
      </c>
      <c r="J302" s="3">
        <f t="shared" si="13"/>
        <v>0</v>
      </c>
      <c r="K302" s="3">
        <f t="shared" si="14"/>
        <v>1</v>
      </c>
      <c r="L302" s="3">
        <f t="shared" si="15"/>
        <v>0</v>
      </c>
      <c r="M302" s="3" t="str" cm="1">
        <f t="array" ref="M302">_xlfn.IFS(I302=1,$I$11,J302=1,$J$11,K302=1,$K$11,L302=1,$L$11)</f>
        <v>Спящий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75" customHeight="1" x14ac:dyDescent="0.3">
      <c r="A303" s="6" t="s">
        <v>572</v>
      </c>
      <c r="B303" s="6"/>
      <c r="C303" s="6"/>
      <c r="D303" s="6">
        <v>1</v>
      </c>
      <c r="E303" s="6"/>
      <c r="F303" s="6"/>
      <c r="G303" s="6"/>
      <c r="H303" s="9" t="str" cm="1">
        <f t="array" ref="H303">_xlfn.IFS(AND(SUM(B303:D303)=0,SUM(E303:G303)&gt;0),"Новый",AND(SUM(B303:D303)&gt;0,SUM(E303:G303)&gt;0),"Действующий",AND(SUM(B303:D303)&gt;0,SUM(E303:G303)=0),"Спящий",AND(SUM(B303:G303)=0),"Ушедший")</f>
        <v>Спящий</v>
      </c>
      <c r="I303" s="3">
        <f>IF(AND(SUM(B303:D303)=0,SUM(E303:G303)&gt;0),1,0)</f>
        <v>0</v>
      </c>
      <c r="J303" s="3">
        <f t="shared" si="13"/>
        <v>0</v>
      </c>
      <c r="K303" s="3">
        <f t="shared" si="14"/>
        <v>1</v>
      </c>
      <c r="L303" s="3">
        <f t="shared" si="15"/>
        <v>0</v>
      </c>
      <c r="M303" s="3" t="str" cm="1">
        <f t="array" ref="M303">_xlfn.IFS(I303=1,$I$11,J303=1,$J$11,K303=1,$K$11,L303=1,$L$11)</f>
        <v>Спящий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 x14ac:dyDescent="0.3">
      <c r="A304" s="6" t="s">
        <v>573</v>
      </c>
      <c r="B304" s="6">
        <v>6</v>
      </c>
      <c r="C304" s="6">
        <v>9</v>
      </c>
      <c r="D304" s="6">
        <v>11</v>
      </c>
      <c r="E304" s="6">
        <v>10</v>
      </c>
      <c r="F304" s="6">
        <v>7</v>
      </c>
      <c r="G304" s="6">
        <v>7</v>
      </c>
      <c r="H304" s="9" t="str" cm="1">
        <f t="array" ref="H304">_xlfn.IFS(AND(SUM(B304:D304)=0,SUM(E304:G304)&gt;0),"Новый",AND(SUM(B304:D304)&gt;0,SUM(E304:G304)&gt;0),"Действующий",AND(SUM(B304:D304)&gt;0,SUM(E304:G304)=0),"Спящий",AND(SUM(B304:G304)=0),"Ушедший")</f>
        <v>Действующий</v>
      </c>
      <c r="I304" s="3">
        <f>IF(AND(SUM(B304:D304)=0,SUM(E304:G304)&gt;0),1,0)</f>
        <v>0</v>
      </c>
      <c r="J304" s="3">
        <f t="shared" si="13"/>
        <v>1</v>
      </c>
      <c r="K304" s="3">
        <f t="shared" si="14"/>
        <v>0</v>
      </c>
      <c r="L304" s="3">
        <f t="shared" si="15"/>
        <v>0</v>
      </c>
      <c r="M304" s="3" t="str" cm="1">
        <f t="array" ref="M304">_xlfn.IFS(I304=1,$I$11,J304=1,$J$11,K304=1,$K$11,L304=1,$L$11)</f>
        <v>Действующий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75" customHeight="1" x14ac:dyDescent="0.3">
      <c r="A305" s="6" t="s">
        <v>574</v>
      </c>
      <c r="B305" s="6"/>
      <c r="C305" s="6">
        <v>2</v>
      </c>
      <c r="D305" s="6">
        <v>1</v>
      </c>
      <c r="E305" s="6">
        <v>1</v>
      </c>
      <c r="F305" s="6"/>
      <c r="G305" s="6">
        <v>2</v>
      </c>
      <c r="H305" s="9" t="str" cm="1">
        <f t="array" ref="H305">_xlfn.IFS(AND(SUM(B305:D305)=0,SUM(E305:G305)&gt;0),"Новый",AND(SUM(B305:D305)&gt;0,SUM(E305:G305)&gt;0),"Действующий",AND(SUM(B305:D305)&gt;0,SUM(E305:G305)=0),"Спящий",AND(SUM(B305:G305)=0),"Ушедший")</f>
        <v>Действующий</v>
      </c>
      <c r="I305" s="3">
        <f>IF(AND(SUM(B305:D305)=0,SUM(E305:G305)&gt;0),1,0)</f>
        <v>0</v>
      </c>
      <c r="J305" s="3">
        <f t="shared" si="13"/>
        <v>1</v>
      </c>
      <c r="K305" s="3">
        <f t="shared" si="14"/>
        <v>0</v>
      </c>
      <c r="L305" s="3">
        <f t="shared" si="15"/>
        <v>0</v>
      </c>
      <c r="M305" s="3" t="str" cm="1">
        <f t="array" ref="M305">_xlfn.IFS(I305=1,$I$11,J305=1,$J$11,K305=1,$K$11,L305=1,$L$11)</f>
        <v>Действующий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 x14ac:dyDescent="0.3">
      <c r="A306" s="6" t="s">
        <v>575</v>
      </c>
      <c r="B306" s="6"/>
      <c r="C306" s="6"/>
      <c r="D306" s="6"/>
      <c r="E306" s="6"/>
      <c r="F306" s="6">
        <v>1</v>
      </c>
      <c r="G306" s="6"/>
      <c r="H306" s="9" t="str" cm="1">
        <f t="array" ref="H306">_xlfn.IFS(AND(SUM(B306:D306)=0,SUM(E306:G306)&gt;0),"Новый",AND(SUM(B306:D306)&gt;0,SUM(E306:G306)&gt;0),"Действующий",AND(SUM(B306:D306)&gt;0,SUM(E306:G306)=0),"Спящий",AND(SUM(B306:G306)=0),"Ушедший")</f>
        <v>Новый</v>
      </c>
      <c r="I306" s="3">
        <f>IF(AND(SUM(B306:D306)=0,SUM(E306:G306)&gt;0),1,0)</f>
        <v>1</v>
      </c>
      <c r="J306" s="3">
        <f t="shared" si="13"/>
        <v>0</v>
      </c>
      <c r="K306" s="3">
        <f t="shared" si="14"/>
        <v>0</v>
      </c>
      <c r="L306" s="3">
        <f t="shared" si="15"/>
        <v>0</v>
      </c>
      <c r="M306" s="3" t="str" cm="1">
        <f t="array" ref="M306">_xlfn.IFS(I306=1,$I$11,J306=1,$J$11,K306=1,$K$11,L306=1,$L$11)</f>
        <v>Новый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75" customHeight="1" x14ac:dyDescent="0.3">
      <c r="A307" s="6" t="s">
        <v>576</v>
      </c>
      <c r="B307" s="6"/>
      <c r="C307" s="6"/>
      <c r="D307" s="6"/>
      <c r="E307" s="6">
        <v>1</v>
      </c>
      <c r="F307" s="6">
        <v>2</v>
      </c>
      <c r="G307" s="6">
        <v>1</v>
      </c>
      <c r="H307" s="9" t="str" cm="1">
        <f t="array" ref="H307">_xlfn.IFS(AND(SUM(B307:D307)=0,SUM(E307:G307)&gt;0),"Новый",AND(SUM(B307:D307)&gt;0,SUM(E307:G307)&gt;0),"Действующий",AND(SUM(B307:D307)&gt;0,SUM(E307:G307)=0),"Спящий",AND(SUM(B307:G307)=0),"Ушедший")</f>
        <v>Новый</v>
      </c>
      <c r="I307" s="3">
        <f>IF(AND(SUM(B307:D307)=0,SUM(E307:G307)&gt;0),1,0)</f>
        <v>1</v>
      </c>
      <c r="J307" s="3">
        <f t="shared" si="13"/>
        <v>0</v>
      </c>
      <c r="K307" s="3">
        <f t="shared" si="14"/>
        <v>0</v>
      </c>
      <c r="L307" s="3">
        <f t="shared" si="15"/>
        <v>0</v>
      </c>
      <c r="M307" s="3" t="str" cm="1">
        <f t="array" ref="M307">_xlfn.IFS(I307=1,$I$11,J307=1,$J$11,K307=1,$K$11,L307=1,$L$11)</f>
        <v>Новый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 x14ac:dyDescent="0.3">
      <c r="A308" s="6" t="s">
        <v>577</v>
      </c>
      <c r="B308" s="6"/>
      <c r="C308" s="6"/>
      <c r="D308" s="6">
        <v>1</v>
      </c>
      <c r="E308" s="6"/>
      <c r="F308" s="6"/>
      <c r="G308" s="6"/>
      <c r="H308" s="9" t="str" cm="1">
        <f t="array" ref="H308">_xlfn.IFS(AND(SUM(B308:D308)=0,SUM(E308:G308)&gt;0),"Новый",AND(SUM(B308:D308)&gt;0,SUM(E308:G308)&gt;0),"Действующий",AND(SUM(B308:D308)&gt;0,SUM(E308:G308)=0),"Спящий",AND(SUM(B308:G308)=0),"Ушедший")</f>
        <v>Спящий</v>
      </c>
      <c r="I308" s="3">
        <f>IF(AND(SUM(B308:D308)=0,SUM(E308:G308)&gt;0),1,0)</f>
        <v>0</v>
      </c>
      <c r="J308" s="3">
        <f t="shared" si="13"/>
        <v>0</v>
      </c>
      <c r="K308" s="3">
        <f t="shared" si="14"/>
        <v>1</v>
      </c>
      <c r="L308" s="3">
        <f t="shared" si="15"/>
        <v>0</v>
      </c>
      <c r="M308" s="3" t="str" cm="1">
        <f t="array" ref="M308">_xlfn.IFS(I308=1,$I$11,J308=1,$J$11,K308=1,$K$11,L308=1,$L$11)</f>
        <v>Спящий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75" customHeight="1" x14ac:dyDescent="0.3">
      <c r="A309" s="6" t="s">
        <v>578</v>
      </c>
      <c r="B309" s="6"/>
      <c r="C309" s="6"/>
      <c r="D309" s="6"/>
      <c r="E309" s="6">
        <v>1</v>
      </c>
      <c r="F309" s="6"/>
      <c r="G309" s="6"/>
      <c r="H309" s="9" t="str" cm="1">
        <f t="array" ref="H309">_xlfn.IFS(AND(SUM(B309:D309)=0,SUM(E309:G309)&gt;0),"Новый",AND(SUM(B309:D309)&gt;0,SUM(E309:G309)&gt;0),"Действующий",AND(SUM(B309:D309)&gt;0,SUM(E309:G309)=0),"Спящий",AND(SUM(B309:G309)=0),"Ушедший")</f>
        <v>Новый</v>
      </c>
      <c r="I309" s="3">
        <f>IF(AND(SUM(B309:D309)=0,SUM(E309:G309)&gt;0),1,0)</f>
        <v>1</v>
      </c>
      <c r="J309" s="3">
        <f t="shared" si="13"/>
        <v>0</v>
      </c>
      <c r="K309" s="3">
        <f t="shared" si="14"/>
        <v>0</v>
      </c>
      <c r="L309" s="3">
        <f t="shared" si="15"/>
        <v>0</v>
      </c>
      <c r="M309" s="3" t="str" cm="1">
        <f t="array" ref="M309">_xlfn.IFS(I309=1,$I$11,J309=1,$J$11,K309=1,$K$11,L309=1,$L$11)</f>
        <v>Новый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 x14ac:dyDescent="0.3">
      <c r="A310" s="6" t="s">
        <v>579</v>
      </c>
      <c r="B310" s="6"/>
      <c r="C310" s="6">
        <v>1</v>
      </c>
      <c r="D310" s="6"/>
      <c r="E310" s="6"/>
      <c r="F310" s="6">
        <v>1</v>
      </c>
      <c r="G310" s="6"/>
      <c r="H310" s="9" t="str" cm="1">
        <f t="array" ref="H310">_xlfn.IFS(AND(SUM(B310:D310)=0,SUM(E310:G310)&gt;0),"Новый",AND(SUM(B310:D310)&gt;0,SUM(E310:G310)&gt;0),"Действующий",AND(SUM(B310:D310)&gt;0,SUM(E310:G310)=0),"Спящий",AND(SUM(B310:G310)=0),"Ушедший")</f>
        <v>Действующий</v>
      </c>
      <c r="I310" s="3">
        <f>IF(AND(SUM(B310:D310)=0,SUM(E310:G310)&gt;0),1,0)</f>
        <v>0</v>
      </c>
      <c r="J310" s="3">
        <f t="shared" si="13"/>
        <v>1</v>
      </c>
      <c r="K310" s="3">
        <f t="shared" si="14"/>
        <v>0</v>
      </c>
      <c r="L310" s="3">
        <f t="shared" si="15"/>
        <v>0</v>
      </c>
      <c r="M310" s="3" t="str" cm="1">
        <f t="array" ref="M310">_xlfn.IFS(I310=1,$I$11,J310=1,$J$11,K310=1,$K$11,L310=1,$L$11)</f>
        <v>Действующий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75" customHeight="1" x14ac:dyDescent="0.3">
      <c r="A311" s="6" t="s">
        <v>580</v>
      </c>
      <c r="B311" s="6"/>
      <c r="C311" s="6"/>
      <c r="D311" s="6">
        <v>1</v>
      </c>
      <c r="E311" s="6"/>
      <c r="F311" s="6"/>
      <c r="G311" s="6"/>
      <c r="H311" s="9" t="str" cm="1">
        <f t="array" ref="H311">_xlfn.IFS(AND(SUM(B311:D311)=0,SUM(E311:G311)&gt;0),"Новый",AND(SUM(B311:D311)&gt;0,SUM(E311:G311)&gt;0),"Действующий",AND(SUM(B311:D311)&gt;0,SUM(E311:G311)=0),"Спящий",AND(SUM(B311:G311)=0),"Ушедший")</f>
        <v>Спящий</v>
      </c>
      <c r="I311" s="3">
        <f>IF(AND(SUM(B311:D311)=0,SUM(E311:G311)&gt;0),1,0)</f>
        <v>0</v>
      </c>
      <c r="J311" s="3">
        <f t="shared" si="13"/>
        <v>0</v>
      </c>
      <c r="K311" s="3">
        <f t="shared" si="14"/>
        <v>1</v>
      </c>
      <c r="L311" s="3">
        <f t="shared" si="15"/>
        <v>0</v>
      </c>
      <c r="M311" s="3" t="str" cm="1">
        <f t="array" ref="M311">_xlfn.IFS(I311=1,$I$11,J311=1,$J$11,K311=1,$K$11,L311=1,$L$11)</f>
        <v>Спящий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 x14ac:dyDescent="0.3">
      <c r="A312" s="6" t="s">
        <v>581</v>
      </c>
      <c r="B312" s="6"/>
      <c r="C312" s="6"/>
      <c r="D312" s="6"/>
      <c r="E312" s="6"/>
      <c r="F312" s="6"/>
      <c r="G312" s="6">
        <v>1</v>
      </c>
      <c r="H312" s="9" t="str" cm="1">
        <f t="array" ref="H312">_xlfn.IFS(AND(SUM(B312:D312)=0,SUM(E312:G312)&gt;0),"Новый",AND(SUM(B312:D312)&gt;0,SUM(E312:G312)&gt;0),"Действующий",AND(SUM(B312:D312)&gt;0,SUM(E312:G312)=0),"Спящий",AND(SUM(B312:G312)=0),"Ушедший")</f>
        <v>Новый</v>
      </c>
      <c r="I312" s="3">
        <f>IF(AND(SUM(B312:D312)=0,SUM(E312:G312)&gt;0),1,0)</f>
        <v>1</v>
      </c>
      <c r="J312" s="3">
        <f t="shared" si="13"/>
        <v>0</v>
      </c>
      <c r="K312" s="3">
        <f t="shared" si="14"/>
        <v>0</v>
      </c>
      <c r="L312" s="3">
        <f t="shared" si="15"/>
        <v>0</v>
      </c>
      <c r="M312" s="3" t="str" cm="1">
        <f t="array" ref="M312">_xlfn.IFS(I312=1,$I$11,J312=1,$J$11,K312=1,$K$11,L312=1,$L$11)</f>
        <v>Новый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75" customHeight="1" x14ac:dyDescent="0.3">
      <c r="A313" s="6" t="s">
        <v>582</v>
      </c>
      <c r="B313" s="6"/>
      <c r="C313" s="6"/>
      <c r="D313" s="6">
        <v>1</v>
      </c>
      <c r="E313" s="6"/>
      <c r="F313" s="6"/>
      <c r="G313" s="6"/>
      <c r="H313" s="9" t="str" cm="1">
        <f t="array" ref="H313">_xlfn.IFS(AND(SUM(B313:D313)=0,SUM(E313:G313)&gt;0),"Новый",AND(SUM(B313:D313)&gt;0,SUM(E313:G313)&gt;0),"Действующий",AND(SUM(B313:D313)&gt;0,SUM(E313:G313)=0),"Спящий",AND(SUM(B313:G313)=0),"Ушедший")</f>
        <v>Спящий</v>
      </c>
      <c r="I313" s="3">
        <f>IF(AND(SUM(B313:D313)=0,SUM(E313:G313)&gt;0),1,0)</f>
        <v>0</v>
      </c>
      <c r="J313" s="3">
        <f t="shared" si="13"/>
        <v>0</v>
      </c>
      <c r="K313" s="3">
        <f t="shared" si="14"/>
        <v>1</v>
      </c>
      <c r="L313" s="3">
        <f t="shared" si="15"/>
        <v>0</v>
      </c>
      <c r="M313" s="3" t="str" cm="1">
        <f t="array" ref="M313">_xlfn.IFS(I313=1,$I$11,J313=1,$J$11,K313=1,$K$11,L313=1,$L$11)</f>
        <v>Спящий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 x14ac:dyDescent="0.3">
      <c r="A314" s="6" t="s">
        <v>583</v>
      </c>
      <c r="B314" s="6"/>
      <c r="C314" s="6"/>
      <c r="D314" s="6"/>
      <c r="E314" s="6"/>
      <c r="F314" s="6"/>
      <c r="G314" s="6">
        <v>2</v>
      </c>
      <c r="H314" s="9" t="str" cm="1">
        <f t="array" ref="H314">_xlfn.IFS(AND(SUM(B314:D314)=0,SUM(E314:G314)&gt;0),"Новый",AND(SUM(B314:D314)&gt;0,SUM(E314:G314)&gt;0),"Действующий",AND(SUM(B314:D314)&gt;0,SUM(E314:G314)=0),"Спящий",AND(SUM(B314:G314)=0),"Ушедший")</f>
        <v>Новый</v>
      </c>
      <c r="I314" s="3">
        <f>IF(AND(SUM(B314:D314)=0,SUM(E314:G314)&gt;0),1,0)</f>
        <v>1</v>
      </c>
      <c r="J314" s="3">
        <f t="shared" si="13"/>
        <v>0</v>
      </c>
      <c r="K314" s="3">
        <f t="shared" si="14"/>
        <v>0</v>
      </c>
      <c r="L314" s="3">
        <f t="shared" si="15"/>
        <v>0</v>
      </c>
      <c r="M314" s="3" t="str" cm="1">
        <f t="array" ref="M314">_xlfn.IFS(I314=1,$I$11,J314=1,$J$11,K314=1,$K$11,L314=1,$L$11)</f>
        <v>Новый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75" customHeight="1" x14ac:dyDescent="0.3">
      <c r="A315" s="6" t="s">
        <v>584</v>
      </c>
      <c r="B315" s="6">
        <v>1</v>
      </c>
      <c r="C315" s="6">
        <v>1</v>
      </c>
      <c r="D315" s="6">
        <v>1</v>
      </c>
      <c r="E315" s="6">
        <v>1</v>
      </c>
      <c r="F315" s="6"/>
      <c r="G315" s="6">
        <v>1</v>
      </c>
      <c r="H315" s="9" t="str" cm="1">
        <f t="array" ref="H315">_xlfn.IFS(AND(SUM(B315:D315)=0,SUM(E315:G315)&gt;0),"Новый",AND(SUM(B315:D315)&gt;0,SUM(E315:G315)&gt;0),"Действующий",AND(SUM(B315:D315)&gt;0,SUM(E315:G315)=0),"Спящий",AND(SUM(B315:G315)=0),"Ушедший")</f>
        <v>Действующий</v>
      </c>
      <c r="I315" s="3">
        <f>IF(AND(SUM(B315:D315)=0,SUM(E315:G315)&gt;0),1,0)</f>
        <v>0</v>
      </c>
      <c r="J315" s="3">
        <f t="shared" si="13"/>
        <v>1</v>
      </c>
      <c r="K315" s="3">
        <f t="shared" si="14"/>
        <v>0</v>
      </c>
      <c r="L315" s="3">
        <f t="shared" si="15"/>
        <v>0</v>
      </c>
      <c r="M315" s="3" t="str" cm="1">
        <f t="array" ref="M315">_xlfn.IFS(I315=1,$I$11,J315=1,$J$11,K315=1,$K$11,L315=1,$L$11)</f>
        <v>Действующий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 x14ac:dyDescent="0.3">
      <c r="A316" s="6" t="s">
        <v>585</v>
      </c>
      <c r="B316" s="6"/>
      <c r="C316" s="6"/>
      <c r="D316" s="6"/>
      <c r="E316" s="6"/>
      <c r="F316" s="6"/>
      <c r="G316" s="6"/>
      <c r="H316" s="9" t="str" cm="1">
        <f t="array" ref="H316">_xlfn.IFS(AND(SUM(B316:D316)=0,SUM(E316:G316)&gt;0),"Новый",AND(SUM(B316:D316)&gt;0,SUM(E316:G316)&gt;0),"Действующий",AND(SUM(B316:D316)&gt;0,SUM(E316:G316)=0),"Спящий",AND(SUM(B316:G316)=0),"Ушедший")</f>
        <v>Ушедший</v>
      </c>
      <c r="I316" s="3">
        <f>IF(AND(SUM(B316:D316)=0,SUM(E316:G316)&gt;0),1,0)</f>
        <v>0</v>
      </c>
      <c r="J316" s="3">
        <f t="shared" si="13"/>
        <v>0</v>
      </c>
      <c r="K316" s="3">
        <f t="shared" si="14"/>
        <v>0</v>
      </c>
      <c r="L316" s="3">
        <f t="shared" si="15"/>
        <v>1</v>
      </c>
      <c r="M316" s="3" t="str" cm="1">
        <f t="array" ref="M316">_xlfn.IFS(I316=1,$I$11,J316=1,$J$11,K316=1,$K$11,L316=1,$L$11)</f>
        <v>Ушедший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75" customHeight="1" x14ac:dyDescent="0.3">
      <c r="A317" s="6" t="s">
        <v>586</v>
      </c>
      <c r="B317" s="6"/>
      <c r="C317" s="6"/>
      <c r="D317" s="6">
        <v>1</v>
      </c>
      <c r="E317" s="6"/>
      <c r="F317" s="6"/>
      <c r="G317" s="6"/>
      <c r="H317" s="9" t="str" cm="1">
        <f t="array" ref="H317">_xlfn.IFS(AND(SUM(B317:D317)=0,SUM(E317:G317)&gt;0),"Новый",AND(SUM(B317:D317)&gt;0,SUM(E317:G317)&gt;0),"Действующий",AND(SUM(B317:D317)&gt;0,SUM(E317:G317)=0),"Спящий",AND(SUM(B317:G317)=0),"Ушедший")</f>
        <v>Спящий</v>
      </c>
      <c r="I317" s="3">
        <f>IF(AND(SUM(B317:D317)=0,SUM(E317:G317)&gt;0),1,0)</f>
        <v>0</v>
      </c>
      <c r="J317" s="3">
        <f t="shared" si="13"/>
        <v>0</v>
      </c>
      <c r="K317" s="3">
        <f t="shared" si="14"/>
        <v>1</v>
      </c>
      <c r="L317" s="3">
        <f t="shared" si="15"/>
        <v>0</v>
      </c>
      <c r="M317" s="3" t="str" cm="1">
        <f t="array" ref="M317">_xlfn.IFS(I317=1,$I$11,J317=1,$J$11,K317=1,$K$11,L317=1,$L$11)</f>
        <v>Спящий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 x14ac:dyDescent="0.3">
      <c r="A318" s="6" t="s">
        <v>587</v>
      </c>
      <c r="B318" s="6">
        <v>5</v>
      </c>
      <c r="C318" s="6">
        <v>1</v>
      </c>
      <c r="D318" s="6">
        <v>2</v>
      </c>
      <c r="E318" s="6">
        <v>6</v>
      </c>
      <c r="F318" s="6">
        <v>1</v>
      </c>
      <c r="G318" s="6">
        <v>5</v>
      </c>
      <c r="H318" s="9" t="str" cm="1">
        <f t="array" ref="H318">_xlfn.IFS(AND(SUM(B318:D318)=0,SUM(E318:G318)&gt;0),"Новый",AND(SUM(B318:D318)&gt;0,SUM(E318:G318)&gt;0),"Действующий",AND(SUM(B318:D318)&gt;0,SUM(E318:G318)=0),"Спящий",AND(SUM(B318:G318)=0),"Ушедший")</f>
        <v>Действующий</v>
      </c>
      <c r="I318" s="3">
        <f>IF(AND(SUM(B318:D318)=0,SUM(E318:G318)&gt;0),1,0)</f>
        <v>0</v>
      </c>
      <c r="J318" s="3">
        <f t="shared" si="13"/>
        <v>1</v>
      </c>
      <c r="K318" s="3">
        <f t="shared" si="14"/>
        <v>0</v>
      </c>
      <c r="L318" s="3">
        <f t="shared" si="15"/>
        <v>0</v>
      </c>
      <c r="M318" s="3" t="str" cm="1">
        <f t="array" ref="M318">_xlfn.IFS(I318=1,$I$11,J318=1,$J$11,K318=1,$K$11,L318=1,$L$11)</f>
        <v>Действующий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75" customHeight="1" x14ac:dyDescent="0.3">
      <c r="A319" s="6" t="s">
        <v>588</v>
      </c>
      <c r="B319" s="6">
        <v>1</v>
      </c>
      <c r="C319" s="6"/>
      <c r="D319" s="6"/>
      <c r="E319" s="6"/>
      <c r="F319" s="6"/>
      <c r="G319" s="6"/>
      <c r="H319" s="9" t="str" cm="1">
        <f t="array" ref="H319">_xlfn.IFS(AND(SUM(B319:D319)=0,SUM(E319:G319)&gt;0),"Новый",AND(SUM(B319:D319)&gt;0,SUM(E319:G319)&gt;0),"Действующий",AND(SUM(B319:D319)&gt;0,SUM(E319:G319)=0),"Спящий",AND(SUM(B319:G319)=0),"Ушедший")</f>
        <v>Спящий</v>
      </c>
      <c r="I319" s="3">
        <f>IF(AND(SUM(B319:D319)=0,SUM(E319:G319)&gt;0),1,0)</f>
        <v>0</v>
      </c>
      <c r="J319" s="3">
        <f t="shared" si="13"/>
        <v>0</v>
      </c>
      <c r="K319" s="3">
        <f t="shared" si="14"/>
        <v>1</v>
      </c>
      <c r="L319" s="3">
        <f t="shared" si="15"/>
        <v>0</v>
      </c>
      <c r="M319" s="3" t="str" cm="1">
        <f t="array" ref="M319">_xlfn.IFS(I319=1,$I$11,J319=1,$J$11,K319=1,$K$11,L319=1,$L$11)</f>
        <v>Спящий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 x14ac:dyDescent="0.3">
      <c r="A320" s="6" t="s">
        <v>589</v>
      </c>
      <c r="B320" s="6"/>
      <c r="C320" s="6">
        <v>1</v>
      </c>
      <c r="D320" s="6"/>
      <c r="E320" s="6"/>
      <c r="F320" s="6"/>
      <c r="G320" s="6"/>
      <c r="H320" s="9" t="str" cm="1">
        <f t="array" ref="H320">_xlfn.IFS(AND(SUM(B320:D320)=0,SUM(E320:G320)&gt;0),"Новый",AND(SUM(B320:D320)&gt;0,SUM(E320:G320)&gt;0),"Действующий",AND(SUM(B320:D320)&gt;0,SUM(E320:G320)=0),"Спящий",AND(SUM(B320:G320)=0),"Ушедший")</f>
        <v>Спящий</v>
      </c>
      <c r="I320" s="3">
        <f>IF(AND(SUM(B320:D320)=0,SUM(E320:G320)&gt;0),1,0)</f>
        <v>0</v>
      </c>
      <c r="J320" s="3">
        <f t="shared" si="13"/>
        <v>0</v>
      </c>
      <c r="K320" s="3">
        <f t="shared" si="14"/>
        <v>1</v>
      </c>
      <c r="L320" s="3">
        <f t="shared" si="15"/>
        <v>0</v>
      </c>
      <c r="M320" s="3" t="str" cm="1">
        <f t="array" ref="M320">_xlfn.IFS(I320=1,$I$11,J320=1,$J$11,K320=1,$K$11,L320=1,$L$11)</f>
        <v>Спящий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75" customHeight="1" x14ac:dyDescent="0.3">
      <c r="A321" s="6" t="s">
        <v>590</v>
      </c>
      <c r="B321" s="6"/>
      <c r="C321" s="6"/>
      <c r="D321" s="6"/>
      <c r="E321" s="6"/>
      <c r="F321" s="6">
        <v>1</v>
      </c>
      <c r="G321" s="6"/>
      <c r="H321" s="9" t="str" cm="1">
        <f t="array" ref="H321">_xlfn.IFS(AND(SUM(B321:D321)=0,SUM(E321:G321)&gt;0),"Новый",AND(SUM(B321:D321)&gt;0,SUM(E321:G321)&gt;0),"Действующий",AND(SUM(B321:D321)&gt;0,SUM(E321:G321)=0),"Спящий",AND(SUM(B321:G321)=0),"Ушедший")</f>
        <v>Новый</v>
      </c>
      <c r="I321" s="3">
        <f>IF(AND(SUM(B321:D321)=0,SUM(E321:G321)&gt;0),1,0)</f>
        <v>1</v>
      </c>
      <c r="J321" s="3">
        <f t="shared" si="13"/>
        <v>0</v>
      </c>
      <c r="K321" s="3">
        <f t="shared" si="14"/>
        <v>0</v>
      </c>
      <c r="L321" s="3">
        <f t="shared" si="15"/>
        <v>0</v>
      </c>
      <c r="M321" s="3" t="str" cm="1">
        <f t="array" ref="M321">_xlfn.IFS(I321=1,$I$11,J321=1,$J$11,K321=1,$K$11,L321=1,$L$11)</f>
        <v>Новый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 x14ac:dyDescent="0.3">
      <c r="A322" s="6" t="s">
        <v>591</v>
      </c>
      <c r="B322" s="6">
        <v>1</v>
      </c>
      <c r="C322" s="6">
        <v>2</v>
      </c>
      <c r="D322" s="6">
        <v>1</v>
      </c>
      <c r="E322" s="6">
        <v>2</v>
      </c>
      <c r="F322" s="6">
        <v>1</v>
      </c>
      <c r="G322" s="6">
        <v>1</v>
      </c>
      <c r="H322" s="9" t="str" cm="1">
        <f t="array" ref="H322">_xlfn.IFS(AND(SUM(B322:D322)=0,SUM(E322:G322)&gt;0),"Новый",AND(SUM(B322:D322)&gt;0,SUM(E322:G322)&gt;0),"Действующий",AND(SUM(B322:D322)&gt;0,SUM(E322:G322)=0),"Спящий",AND(SUM(B322:G322)=0),"Ушедший")</f>
        <v>Действующий</v>
      </c>
      <c r="I322" s="3">
        <f>IF(AND(SUM(B322:D322)=0,SUM(E322:G322)&gt;0),1,0)</f>
        <v>0</v>
      </c>
      <c r="J322" s="3">
        <f t="shared" si="13"/>
        <v>1</v>
      </c>
      <c r="K322" s="3">
        <f t="shared" si="14"/>
        <v>0</v>
      </c>
      <c r="L322" s="3">
        <f t="shared" si="15"/>
        <v>0</v>
      </c>
      <c r="M322" s="3" t="str" cm="1">
        <f t="array" ref="M322">_xlfn.IFS(I322=1,$I$11,J322=1,$J$11,K322=1,$K$11,L322=1,$L$11)</f>
        <v>Действующий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75" customHeight="1" x14ac:dyDescent="0.3">
      <c r="A323" s="6" t="s">
        <v>592</v>
      </c>
      <c r="B323" s="6"/>
      <c r="C323" s="6"/>
      <c r="D323" s="6"/>
      <c r="E323" s="6">
        <v>1</v>
      </c>
      <c r="F323" s="6"/>
      <c r="G323" s="6"/>
      <c r="H323" s="9" t="str" cm="1">
        <f t="array" ref="H323">_xlfn.IFS(AND(SUM(B323:D323)=0,SUM(E323:G323)&gt;0),"Новый",AND(SUM(B323:D323)&gt;0,SUM(E323:G323)&gt;0),"Действующий",AND(SUM(B323:D323)&gt;0,SUM(E323:G323)=0),"Спящий",AND(SUM(B323:G323)=0),"Ушедший")</f>
        <v>Новый</v>
      </c>
      <c r="I323" s="3">
        <f>IF(AND(SUM(B323:D323)=0,SUM(E323:G323)&gt;0),1,0)</f>
        <v>1</v>
      </c>
      <c r="J323" s="3">
        <f t="shared" si="13"/>
        <v>0</v>
      </c>
      <c r="K323" s="3">
        <f t="shared" si="14"/>
        <v>0</v>
      </c>
      <c r="L323" s="3">
        <f t="shared" si="15"/>
        <v>0</v>
      </c>
      <c r="M323" s="3" t="str" cm="1">
        <f t="array" ref="M323">_xlfn.IFS(I323=1,$I$11,J323=1,$J$11,K323=1,$K$11,L323=1,$L$11)</f>
        <v>Новый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 x14ac:dyDescent="0.3">
      <c r="A324" s="6" t="s">
        <v>593</v>
      </c>
      <c r="B324" s="6"/>
      <c r="C324" s="6"/>
      <c r="D324" s="6">
        <v>1</v>
      </c>
      <c r="E324" s="6"/>
      <c r="F324" s="6"/>
      <c r="G324" s="6"/>
      <c r="H324" s="9" t="str" cm="1">
        <f t="array" ref="H324">_xlfn.IFS(AND(SUM(B324:D324)=0,SUM(E324:G324)&gt;0),"Новый",AND(SUM(B324:D324)&gt;0,SUM(E324:G324)&gt;0),"Действующий",AND(SUM(B324:D324)&gt;0,SUM(E324:G324)=0),"Спящий",AND(SUM(B324:G324)=0),"Ушедший")</f>
        <v>Спящий</v>
      </c>
      <c r="I324" s="3">
        <f>IF(AND(SUM(B324:D324)=0,SUM(E324:G324)&gt;0),1,0)</f>
        <v>0</v>
      </c>
      <c r="J324" s="3">
        <f t="shared" si="13"/>
        <v>0</v>
      </c>
      <c r="K324" s="3">
        <f t="shared" si="14"/>
        <v>1</v>
      </c>
      <c r="L324" s="3">
        <f t="shared" si="15"/>
        <v>0</v>
      </c>
      <c r="M324" s="3" t="str" cm="1">
        <f t="array" ref="M324">_xlfn.IFS(I324=1,$I$11,J324=1,$J$11,K324=1,$K$11,L324=1,$L$11)</f>
        <v>Спящий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75" customHeight="1" x14ac:dyDescent="0.3">
      <c r="A325" s="6" t="s">
        <v>594</v>
      </c>
      <c r="B325" s="6">
        <v>8</v>
      </c>
      <c r="C325" s="6">
        <v>6</v>
      </c>
      <c r="D325" s="6">
        <v>7</v>
      </c>
      <c r="E325" s="6">
        <v>10</v>
      </c>
      <c r="F325" s="6">
        <v>7</v>
      </c>
      <c r="G325" s="6">
        <v>9</v>
      </c>
      <c r="H325" s="9" t="str" cm="1">
        <f t="array" ref="H325">_xlfn.IFS(AND(SUM(B325:D325)=0,SUM(E325:G325)&gt;0),"Новый",AND(SUM(B325:D325)&gt;0,SUM(E325:G325)&gt;0),"Действующий",AND(SUM(B325:D325)&gt;0,SUM(E325:G325)=0),"Спящий",AND(SUM(B325:G325)=0),"Ушедший")</f>
        <v>Действующий</v>
      </c>
      <c r="I325" s="3">
        <f>IF(AND(SUM(B325:D325)=0,SUM(E325:G325)&gt;0),1,0)</f>
        <v>0</v>
      </c>
      <c r="J325" s="3">
        <f t="shared" si="13"/>
        <v>1</v>
      </c>
      <c r="K325" s="3">
        <f t="shared" si="14"/>
        <v>0</v>
      </c>
      <c r="L325" s="3">
        <f t="shared" si="15"/>
        <v>0</v>
      </c>
      <c r="M325" s="3" t="str" cm="1">
        <f t="array" ref="M325">_xlfn.IFS(I325=1,$I$11,J325=1,$J$11,K325=1,$K$11,L325=1,$L$11)</f>
        <v>Действующий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 x14ac:dyDescent="0.3">
      <c r="A326" s="6" t="s">
        <v>595</v>
      </c>
      <c r="B326" s="6"/>
      <c r="C326" s="6">
        <v>1</v>
      </c>
      <c r="D326" s="6"/>
      <c r="E326" s="6">
        <v>1</v>
      </c>
      <c r="F326" s="6"/>
      <c r="G326" s="6"/>
      <c r="H326" s="9" t="str" cm="1">
        <f t="array" ref="H326">_xlfn.IFS(AND(SUM(B326:D326)=0,SUM(E326:G326)&gt;0),"Новый",AND(SUM(B326:D326)&gt;0,SUM(E326:G326)&gt;0),"Действующий",AND(SUM(B326:D326)&gt;0,SUM(E326:G326)=0),"Спящий",AND(SUM(B326:G326)=0),"Ушедший")</f>
        <v>Действующий</v>
      </c>
      <c r="I326" s="3">
        <f>IF(AND(SUM(B326:D326)=0,SUM(E326:G326)&gt;0),1,0)</f>
        <v>0</v>
      </c>
      <c r="J326" s="3">
        <f t="shared" si="13"/>
        <v>1</v>
      </c>
      <c r="K326" s="3">
        <f t="shared" si="14"/>
        <v>0</v>
      </c>
      <c r="L326" s="3">
        <f t="shared" si="15"/>
        <v>0</v>
      </c>
      <c r="M326" s="3" t="str" cm="1">
        <f t="array" ref="M326">_xlfn.IFS(I326=1,$I$11,J326=1,$J$11,K326=1,$K$11,L326=1,$L$11)</f>
        <v>Действующий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75" customHeight="1" x14ac:dyDescent="0.3">
      <c r="A327" s="6" t="s">
        <v>596</v>
      </c>
      <c r="B327" s="6"/>
      <c r="C327" s="6"/>
      <c r="D327" s="6"/>
      <c r="E327" s="6"/>
      <c r="F327" s="6"/>
      <c r="G327" s="6"/>
      <c r="H327" s="9" t="str" cm="1">
        <f t="array" ref="H327">_xlfn.IFS(AND(SUM(B327:D327)=0,SUM(E327:G327)&gt;0),"Новый",AND(SUM(B327:D327)&gt;0,SUM(E327:G327)&gt;0),"Действующий",AND(SUM(B327:D327)&gt;0,SUM(E327:G327)=0),"Спящий",AND(SUM(B327:G327)=0),"Ушедший")</f>
        <v>Ушедший</v>
      </c>
      <c r="I327" s="3">
        <f>IF(AND(SUM(B327:D327)=0,SUM(E327:G327)&gt;0),1,0)</f>
        <v>0</v>
      </c>
      <c r="J327" s="3">
        <f t="shared" si="13"/>
        <v>0</v>
      </c>
      <c r="K327" s="3">
        <f t="shared" si="14"/>
        <v>0</v>
      </c>
      <c r="L327" s="3">
        <f t="shared" si="15"/>
        <v>1</v>
      </c>
      <c r="M327" s="3" t="str" cm="1">
        <f t="array" ref="M327">_xlfn.IFS(I327=1,$I$11,J327=1,$J$11,K327=1,$K$11,L327=1,$L$11)</f>
        <v>Ушедший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 x14ac:dyDescent="0.3">
      <c r="A328" s="6" t="s">
        <v>597</v>
      </c>
      <c r="B328" s="6"/>
      <c r="C328" s="6"/>
      <c r="D328" s="6"/>
      <c r="E328" s="6">
        <v>1</v>
      </c>
      <c r="F328" s="6"/>
      <c r="G328" s="6"/>
      <c r="H328" s="9" t="str" cm="1">
        <f t="array" ref="H328">_xlfn.IFS(AND(SUM(B328:D328)=0,SUM(E328:G328)&gt;0),"Новый",AND(SUM(B328:D328)&gt;0,SUM(E328:G328)&gt;0),"Действующий",AND(SUM(B328:D328)&gt;0,SUM(E328:G328)=0),"Спящий",AND(SUM(B328:G328)=0),"Ушедший")</f>
        <v>Новый</v>
      </c>
      <c r="I328" s="3">
        <f>IF(AND(SUM(B328:D328)=0,SUM(E328:G328)&gt;0),1,0)</f>
        <v>1</v>
      </c>
      <c r="J328" s="3">
        <f t="shared" si="13"/>
        <v>0</v>
      </c>
      <c r="K328" s="3">
        <f t="shared" si="14"/>
        <v>0</v>
      </c>
      <c r="L328" s="3">
        <f t="shared" si="15"/>
        <v>0</v>
      </c>
      <c r="M328" s="3" t="str" cm="1">
        <f t="array" ref="M328">_xlfn.IFS(I328=1,$I$11,J328=1,$J$11,K328=1,$K$11,L328=1,$L$11)</f>
        <v>Новый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75" customHeight="1" x14ac:dyDescent="0.3">
      <c r="A329" s="6" t="s">
        <v>598</v>
      </c>
      <c r="B329" s="6"/>
      <c r="C329" s="6"/>
      <c r="D329" s="6"/>
      <c r="E329" s="6"/>
      <c r="F329" s="6">
        <v>1</v>
      </c>
      <c r="G329" s="6"/>
      <c r="H329" s="9" t="str" cm="1">
        <f t="array" ref="H329">_xlfn.IFS(AND(SUM(B329:D329)=0,SUM(E329:G329)&gt;0),"Новый",AND(SUM(B329:D329)&gt;0,SUM(E329:G329)&gt;0),"Действующий",AND(SUM(B329:D329)&gt;0,SUM(E329:G329)=0),"Спящий",AND(SUM(B329:G329)=0),"Ушедший")</f>
        <v>Новый</v>
      </c>
      <c r="I329" s="3">
        <f>IF(AND(SUM(B329:D329)=0,SUM(E329:G329)&gt;0),1,0)</f>
        <v>1</v>
      </c>
      <c r="J329" s="3">
        <f t="shared" si="13"/>
        <v>0</v>
      </c>
      <c r="K329" s="3">
        <f t="shared" si="14"/>
        <v>0</v>
      </c>
      <c r="L329" s="3">
        <f t="shared" si="15"/>
        <v>0</v>
      </c>
      <c r="M329" s="3" t="str" cm="1">
        <f t="array" ref="M329">_xlfn.IFS(I329=1,$I$11,J329=1,$J$11,K329=1,$K$11,L329=1,$L$11)</f>
        <v>Новый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 x14ac:dyDescent="0.3">
      <c r="A330" s="6" t="s">
        <v>599</v>
      </c>
      <c r="B330" s="6">
        <v>5</v>
      </c>
      <c r="C330" s="6">
        <v>3</v>
      </c>
      <c r="D330" s="6">
        <v>7</v>
      </c>
      <c r="E330" s="6">
        <v>5</v>
      </c>
      <c r="F330" s="6">
        <v>5</v>
      </c>
      <c r="G330" s="6">
        <v>3</v>
      </c>
      <c r="H330" s="9" t="str" cm="1">
        <f t="array" ref="H330">_xlfn.IFS(AND(SUM(B330:D330)=0,SUM(E330:G330)&gt;0),"Новый",AND(SUM(B330:D330)&gt;0,SUM(E330:G330)&gt;0),"Действующий",AND(SUM(B330:D330)&gt;0,SUM(E330:G330)=0),"Спящий",AND(SUM(B330:G330)=0),"Ушедший")</f>
        <v>Действующий</v>
      </c>
      <c r="I330" s="3">
        <f>IF(AND(SUM(B330:D330)=0,SUM(E330:G330)&gt;0),1,0)</f>
        <v>0</v>
      </c>
      <c r="J330" s="3">
        <f t="shared" si="13"/>
        <v>1</v>
      </c>
      <c r="K330" s="3">
        <f t="shared" si="14"/>
        <v>0</v>
      </c>
      <c r="L330" s="3">
        <f t="shared" si="15"/>
        <v>0</v>
      </c>
      <c r="M330" s="3" t="str" cm="1">
        <f t="array" ref="M330">_xlfn.IFS(I330=1,$I$11,J330=1,$J$11,K330=1,$K$11,L330=1,$L$11)</f>
        <v>Действующий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75" customHeight="1" x14ac:dyDescent="0.3">
      <c r="A331" s="6" t="s">
        <v>600</v>
      </c>
      <c r="B331" s="6"/>
      <c r="C331" s="6"/>
      <c r="D331" s="6"/>
      <c r="E331" s="6"/>
      <c r="F331" s="6"/>
      <c r="G331" s="6">
        <v>1</v>
      </c>
      <c r="H331" s="9" t="str" cm="1">
        <f t="array" ref="H331">_xlfn.IFS(AND(SUM(B331:D331)=0,SUM(E331:G331)&gt;0),"Новый",AND(SUM(B331:D331)&gt;0,SUM(E331:G331)&gt;0),"Действующий",AND(SUM(B331:D331)&gt;0,SUM(E331:G331)=0),"Спящий",AND(SUM(B331:G331)=0),"Ушедший")</f>
        <v>Новый</v>
      </c>
      <c r="I331" s="3">
        <f>IF(AND(SUM(B331:D331)=0,SUM(E331:G331)&gt;0),1,0)</f>
        <v>1</v>
      </c>
      <c r="J331" s="3">
        <f t="shared" si="13"/>
        <v>0</v>
      </c>
      <c r="K331" s="3">
        <f t="shared" si="14"/>
        <v>0</v>
      </c>
      <c r="L331" s="3">
        <f t="shared" si="15"/>
        <v>0</v>
      </c>
      <c r="M331" s="3" t="str" cm="1">
        <f t="array" ref="M331">_xlfn.IFS(I331=1,$I$11,J331=1,$J$11,K331=1,$K$11,L331=1,$L$11)</f>
        <v>Новый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 x14ac:dyDescent="0.3">
      <c r="A332" s="6" t="s">
        <v>601</v>
      </c>
      <c r="B332" s="6"/>
      <c r="C332" s="6"/>
      <c r="D332" s="6">
        <v>11</v>
      </c>
      <c r="E332" s="6">
        <v>21</v>
      </c>
      <c r="F332" s="6">
        <v>11</v>
      </c>
      <c r="G332" s="6">
        <v>18</v>
      </c>
      <c r="H332" s="9" t="str" cm="1">
        <f t="array" ref="H332">_xlfn.IFS(AND(SUM(B332:D332)=0,SUM(E332:G332)&gt;0),"Новый",AND(SUM(B332:D332)&gt;0,SUM(E332:G332)&gt;0),"Действующий",AND(SUM(B332:D332)&gt;0,SUM(E332:G332)=0),"Спящий",AND(SUM(B332:G332)=0),"Ушедший")</f>
        <v>Действующий</v>
      </c>
      <c r="I332" s="3">
        <f>IF(AND(SUM(B332:D332)=0,SUM(E332:G332)&gt;0),1,0)</f>
        <v>0</v>
      </c>
      <c r="J332" s="3">
        <f t="shared" si="13"/>
        <v>1</v>
      </c>
      <c r="K332" s="3">
        <f t="shared" si="14"/>
        <v>0</v>
      </c>
      <c r="L332" s="3">
        <f t="shared" si="15"/>
        <v>0</v>
      </c>
      <c r="M332" s="3" t="str" cm="1">
        <f t="array" ref="M332">_xlfn.IFS(I332=1,$I$11,J332=1,$J$11,K332=1,$K$11,L332=1,$L$11)</f>
        <v>Действующий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75" customHeight="1" x14ac:dyDescent="0.3">
      <c r="A333" s="6" t="s">
        <v>602</v>
      </c>
      <c r="B333" s="6"/>
      <c r="C333" s="6">
        <v>1</v>
      </c>
      <c r="D333" s="6"/>
      <c r="E333" s="6">
        <v>1</v>
      </c>
      <c r="F333" s="6">
        <v>2</v>
      </c>
      <c r="G333" s="6"/>
      <c r="H333" s="9" t="str" cm="1">
        <f t="array" ref="H333">_xlfn.IFS(AND(SUM(B333:D333)=0,SUM(E333:G333)&gt;0),"Новый",AND(SUM(B333:D333)&gt;0,SUM(E333:G333)&gt;0),"Действующий",AND(SUM(B333:D333)&gt;0,SUM(E333:G333)=0),"Спящий",AND(SUM(B333:G333)=0),"Ушедший")</f>
        <v>Действующий</v>
      </c>
      <c r="I333" s="3">
        <f>IF(AND(SUM(B333:D333)=0,SUM(E333:G333)&gt;0),1,0)</f>
        <v>0</v>
      </c>
      <c r="J333" s="3">
        <f t="shared" ref="J333:J383" si="16">IF(AND(SUM(B333:D333)&gt;0,SUM(E333:G333)&gt;0),1,0)</f>
        <v>1</v>
      </c>
      <c r="K333" s="3">
        <f t="shared" ref="K333:K383" si="17">IF(AND(SUM(B333:D333)&gt;0,SUM(E333:G333)=0),1,0)</f>
        <v>0</v>
      </c>
      <c r="L333" s="3">
        <f t="shared" ref="L333:L383" si="18">IF(AND(SUM(B333:D333)=0,SUM(E333:G333)=0),1,0)</f>
        <v>0</v>
      </c>
      <c r="M333" s="3" t="str" cm="1">
        <f t="array" ref="M333">_xlfn.IFS(I333=1,$I$11,J333=1,$J$11,K333=1,$K$11,L333=1,$L$11)</f>
        <v>Действующий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 x14ac:dyDescent="0.3">
      <c r="A334" s="6" t="s">
        <v>603</v>
      </c>
      <c r="B334" s="6">
        <v>1</v>
      </c>
      <c r="C334" s="6"/>
      <c r="D334" s="6"/>
      <c r="E334" s="6">
        <v>1</v>
      </c>
      <c r="F334" s="6"/>
      <c r="G334" s="6"/>
      <c r="H334" s="9" t="str" cm="1">
        <f t="array" ref="H334">_xlfn.IFS(AND(SUM(B334:D334)=0,SUM(E334:G334)&gt;0),"Новый",AND(SUM(B334:D334)&gt;0,SUM(E334:G334)&gt;0),"Действующий",AND(SUM(B334:D334)&gt;0,SUM(E334:G334)=0),"Спящий",AND(SUM(B334:G334)=0),"Ушедший")</f>
        <v>Действующий</v>
      </c>
      <c r="I334" s="3">
        <f>IF(AND(SUM(B334:D334)=0,SUM(E334:G334)&gt;0),1,0)</f>
        <v>0</v>
      </c>
      <c r="J334" s="3">
        <f t="shared" si="16"/>
        <v>1</v>
      </c>
      <c r="K334" s="3">
        <f t="shared" si="17"/>
        <v>0</v>
      </c>
      <c r="L334" s="3">
        <f t="shared" si="18"/>
        <v>0</v>
      </c>
      <c r="M334" s="3" t="str" cm="1">
        <f t="array" ref="M334">_xlfn.IFS(I334=1,$I$11,J334=1,$J$11,K334=1,$K$11,L334=1,$L$11)</f>
        <v>Действующий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75" customHeight="1" x14ac:dyDescent="0.3">
      <c r="A335" s="6" t="s">
        <v>604</v>
      </c>
      <c r="B335" s="6"/>
      <c r="C335" s="6">
        <v>1</v>
      </c>
      <c r="D335" s="6"/>
      <c r="E335" s="6"/>
      <c r="F335" s="6"/>
      <c r="G335" s="6"/>
      <c r="H335" s="9" t="str" cm="1">
        <f t="array" ref="H335">_xlfn.IFS(AND(SUM(B335:D335)=0,SUM(E335:G335)&gt;0),"Новый",AND(SUM(B335:D335)&gt;0,SUM(E335:G335)&gt;0),"Действующий",AND(SUM(B335:D335)&gt;0,SUM(E335:G335)=0),"Спящий",AND(SUM(B335:G335)=0),"Ушедший")</f>
        <v>Спящий</v>
      </c>
      <c r="I335" s="3">
        <f>IF(AND(SUM(B335:D335)=0,SUM(E335:G335)&gt;0),1,0)</f>
        <v>0</v>
      </c>
      <c r="J335" s="3">
        <f t="shared" si="16"/>
        <v>0</v>
      </c>
      <c r="K335" s="3">
        <f t="shared" si="17"/>
        <v>1</v>
      </c>
      <c r="L335" s="3">
        <f t="shared" si="18"/>
        <v>0</v>
      </c>
      <c r="M335" s="3" t="str" cm="1">
        <f t="array" ref="M335">_xlfn.IFS(I335=1,$I$11,J335=1,$J$11,K335=1,$K$11,L335=1,$L$11)</f>
        <v>Спящий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 x14ac:dyDescent="0.3">
      <c r="A336" s="6" t="s">
        <v>605</v>
      </c>
      <c r="B336" s="6"/>
      <c r="C336" s="6"/>
      <c r="D336" s="6"/>
      <c r="E336" s="6"/>
      <c r="F336" s="6">
        <v>1</v>
      </c>
      <c r="G336" s="6"/>
      <c r="H336" s="9" t="str" cm="1">
        <f t="array" ref="H336">_xlfn.IFS(AND(SUM(B336:D336)=0,SUM(E336:G336)&gt;0),"Новый",AND(SUM(B336:D336)&gt;0,SUM(E336:G336)&gt;0),"Действующий",AND(SUM(B336:D336)&gt;0,SUM(E336:G336)=0),"Спящий",AND(SUM(B336:G336)=0),"Ушедший")</f>
        <v>Новый</v>
      </c>
      <c r="I336" s="3">
        <f>IF(AND(SUM(B336:D336)=0,SUM(E336:G336)&gt;0),1,0)</f>
        <v>1</v>
      </c>
      <c r="J336" s="3">
        <f t="shared" si="16"/>
        <v>0</v>
      </c>
      <c r="K336" s="3">
        <f t="shared" si="17"/>
        <v>0</v>
      </c>
      <c r="L336" s="3">
        <f t="shared" si="18"/>
        <v>0</v>
      </c>
      <c r="M336" s="3" t="str" cm="1">
        <f t="array" ref="M336">_xlfn.IFS(I336=1,$I$11,J336=1,$J$11,K336=1,$K$11,L336=1,$L$11)</f>
        <v>Новый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75" customHeight="1" x14ac:dyDescent="0.3">
      <c r="A337" s="6" t="s">
        <v>606</v>
      </c>
      <c r="B337" s="6"/>
      <c r="C337" s="6"/>
      <c r="D337" s="6"/>
      <c r="E337" s="6"/>
      <c r="F337" s="6"/>
      <c r="G337" s="6">
        <v>1</v>
      </c>
      <c r="H337" s="9" t="str" cm="1">
        <f t="array" ref="H337">_xlfn.IFS(AND(SUM(B337:D337)=0,SUM(E337:G337)&gt;0),"Новый",AND(SUM(B337:D337)&gt;0,SUM(E337:G337)&gt;0),"Действующий",AND(SUM(B337:D337)&gt;0,SUM(E337:G337)=0),"Спящий",AND(SUM(B337:G337)=0),"Ушедший")</f>
        <v>Новый</v>
      </c>
      <c r="I337" s="3">
        <f>IF(AND(SUM(B337:D337)=0,SUM(E337:G337)&gt;0),1,0)</f>
        <v>1</v>
      </c>
      <c r="J337" s="3">
        <f t="shared" si="16"/>
        <v>0</v>
      </c>
      <c r="K337" s="3">
        <f t="shared" si="17"/>
        <v>0</v>
      </c>
      <c r="L337" s="3">
        <f t="shared" si="18"/>
        <v>0</v>
      </c>
      <c r="M337" s="3" t="str" cm="1">
        <f t="array" ref="M337">_xlfn.IFS(I337=1,$I$11,J337=1,$J$11,K337=1,$K$11,L337=1,$L$11)</f>
        <v>Новый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 x14ac:dyDescent="0.3">
      <c r="A338" s="6" t="s">
        <v>607</v>
      </c>
      <c r="B338" s="6"/>
      <c r="C338" s="6"/>
      <c r="D338" s="6"/>
      <c r="E338" s="6"/>
      <c r="F338" s="6"/>
      <c r="G338" s="6">
        <v>1</v>
      </c>
      <c r="H338" s="9" t="str" cm="1">
        <f t="array" ref="H338">_xlfn.IFS(AND(SUM(B338:D338)=0,SUM(E338:G338)&gt;0),"Новый",AND(SUM(B338:D338)&gt;0,SUM(E338:G338)&gt;0),"Действующий",AND(SUM(B338:D338)&gt;0,SUM(E338:G338)=0),"Спящий",AND(SUM(B338:G338)=0),"Ушедший")</f>
        <v>Новый</v>
      </c>
      <c r="I338" s="3">
        <f>IF(AND(SUM(B338:D338)=0,SUM(E338:G338)&gt;0),1,0)</f>
        <v>1</v>
      </c>
      <c r="J338" s="3">
        <f t="shared" si="16"/>
        <v>0</v>
      </c>
      <c r="K338" s="3">
        <f t="shared" si="17"/>
        <v>0</v>
      </c>
      <c r="L338" s="3">
        <f t="shared" si="18"/>
        <v>0</v>
      </c>
      <c r="M338" s="3" t="str" cm="1">
        <f t="array" ref="M338">_xlfn.IFS(I338=1,$I$11,J338=1,$J$11,K338=1,$K$11,L338=1,$L$11)</f>
        <v>Новый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75" customHeight="1" x14ac:dyDescent="0.3">
      <c r="A339" s="6" t="s">
        <v>608</v>
      </c>
      <c r="B339" s="6"/>
      <c r="C339" s="6"/>
      <c r="D339" s="6">
        <v>1</v>
      </c>
      <c r="E339" s="6"/>
      <c r="F339" s="6"/>
      <c r="G339" s="6"/>
      <c r="H339" s="9" t="str" cm="1">
        <f t="array" ref="H339">_xlfn.IFS(AND(SUM(B339:D339)=0,SUM(E339:G339)&gt;0),"Новый",AND(SUM(B339:D339)&gt;0,SUM(E339:G339)&gt;0),"Действующий",AND(SUM(B339:D339)&gt;0,SUM(E339:G339)=0),"Спящий",AND(SUM(B339:G339)=0),"Ушедший")</f>
        <v>Спящий</v>
      </c>
      <c r="I339" s="3">
        <f>IF(AND(SUM(B339:D339)=0,SUM(E339:G339)&gt;0),1,0)</f>
        <v>0</v>
      </c>
      <c r="J339" s="3">
        <f t="shared" si="16"/>
        <v>0</v>
      </c>
      <c r="K339" s="3">
        <f t="shared" si="17"/>
        <v>1</v>
      </c>
      <c r="L339" s="3">
        <f t="shared" si="18"/>
        <v>0</v>
      </c>
      <c r="M339" s="3" t="str" cm="1">
        <f t="array" ref="M339">_xlfn.IFS(I339=1,$I$11,J339=1,$J$11,K339=1,$K$11,L339=1,$L$11)</f>
        <v>Спящий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 x14ac:dyDescent="0.3">
      <c r="A340" s="6" t="s">
        <v>609</v>
      </c>
      <c r="B340" s="6"/>
      <c r="C340" s="6"/>
      <c r="D340" s="6"/>
      <c r="E340" s="6"/>
      <c r="F340" s="6">
        <v>1</v>
      </c>
      <c r="G340" s="6"/>
      <c r="H340" s="9" t="str" cm="1">
        <f t="array" ref="H340">_xlfn.IFS(AND(SUM(B340:D340)=0,SUM(E340:G340)&gt;0),"Новый",AND(SUM(B340:D340)&gt;0,SUM(E340:G340)&gt;0),"Действующий",AND(SUM(B340:D340)&gt;0,SUM(E340:G340)=0),"Спящий",AND(SUM(B340:G340)=0),"Ушедший")</f>
        <v>Новый</v>
      </c>
      <c r="I340" s="3">
        <f>IF(AND(SUM(B340:D340)=0,SUM(E340:G340)&gt;0),1,0)</f>
        <v>1</v>
      </c>
      <c r="J340" s="3">
        <f t="shared" si="16"/>
        <v>0</v>
      </c>
      <c r="K340" s="3">
        <f t="shared" si="17"/>
        <v>0</v>
      </c>
      <c r="L340" s="3">
        <f t="shared" si="18"/>
        <v>0</v>
      </c>
      <c r="M340" s="3" t="str" cm="1">
        <f t="array" ref="M340">_xlfn.IFS(I340=1,$I$11,J340=1,$J$11,K340=1,$K$11,L340=1,$L$11)</f>
        <v>Новый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75" customHeight="1" x14ac:dyDescent="0.3">
      <c r="A341" s="6" t="s">
        <v>610</v>
      </c>
      <c r="B341" s="6"/>
      <c r="C341" s="6"/>
      <c r="D341" s="6"/>
      <c r="E341" s="6"/>
      <c r="F341" s="6">
        <v>1</v>
      </c>
      <c r="G341" s="6"/>
      <c r="H341" s="9" t="str" cm="1">
        <f t="array" ref="H341">_xlfn.IFS(AND(SUM(B341:D341)=0,SUM(E341:G341)&gt;0),"Новый",AND(SUM(B341:D341)&gt;0,SUM(E341:G341)&gt;0),"Действующий",AND(SUM(B341:D341)&gt;0,SUM(E341:G341)=0),"Спящий",AND(SUM(B341:G341)=0),"Ушедший")</f>
        <v>Новый</v>
      </c>
      <c r="I341" s="3">
        <f>IF(AND(SUM(B341:D341)=0,SUM(E341:G341)&gt;0),1,0)</f>
        <v>1</v>
      </c>
      <c r="J341" s="3">
        <f t="shared" si="16"/>
        <v>0</v>
      </c>
      <c r="K341" s="3">
        <f t="shared" si="17"/>
        <v>0</v>
      </c>
      <c r="L341" s="3">
        <f t="shared" si="18"/>
        <v>0</v>
      </c>
      <c r="M341" s="3" t="str" cm="1">
        <f t="array" ref="M341">_xlfn.IFS(I341=1,$I$11,J341=1,$J$11,K341=1,$K$11,L341=1,$L$11)</f>
        <v>Новый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 x14ac:dyDescent="0.3">
      <c r="A342" s="6" t="s">
        <v>611</v>
      </c>
      <c r="B342" s="6"/>
      <c r="C342" s="6">
        <v>1</v>
      </c>
      <c r="D342" s="6"/>
      <c r="E342" s="6"/>
      <c r="F342" s="6"/>
      <c r="G342" s="6"/>
      <c r="H342" s="9" t="str" cm="1">
        <f t="array" ref="H342">_xlfn.IFS(AND(SUM(B342:D342)=0,SUM(E342:G342)&gt;0),"Новый",AND(SUM(B342:D342)&gt;0,SUM(E342:G342)&gt;0),"Действующий",AND(SUM(B342:D342)&gt;0,SUM(E342:G342)=0),"Спящий",AND(SUM(B342:G342)=0),"Ушедший")</f>
        <v>Спящий</v>
      </c>
      <c r="I342" s="3">
        <f>IF(AND(SUM(B342:D342)=0,SUM(E342:G342)&gt;0),1,0)</f>
        <v>0</v>
      </c>
      <c r="J342" s="3">
        <f t="shared" si="16"/>
        <v>0</v>
      </c>
      <c r="K342" s="3">
        <f t="shared" si="17"/>
        <v>1</v>
      </c>
      <c r="L342" s="3">
        <f t="shared" si="18"/>
        <v>0</v>
      </c>
      <c r="M342" s="3" t="str" cm="1">
        <f t="array" ref="M342">_xlfn.IFS(I342=1,$I$11,J342=1,$J$11,K342=1,$K$11,L342=1,$L$11)</f>
        <v>Спящий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75" customHeight="1" x14ac:dyDescent="0.3">
      <c r="A343" s="6" t="s">
        <v>612</v>
      </c>
      <c r="B343" s="6">
        <v>11</v>
      </c>
      <c r="C343" s="6">
        <v>13</v>
      </c>
      <c r="D343" s="6">
        <v>8</v>
      </c>
      <c r="E343" s="6">
        <v>31</v>
      </c>
      <c r="F343" s="6">
        <v>17</v>
      </c>
      <c r="G343" s="6">
        <v>31</v>
      </c>
      <c r="H343" s="9" t="str" cm="1">
        <f t="array" ref="H343">_xlfn.IFS(AND(SUM(B343:D343)=0,SUM(E343:G343)&gt;0),"Новый",AND(SUM(B343:D343)&gt;0,SUM(E343:G343)&gt;0),"Действующий",AND(SUM(B343:D343)&gt;0,SUM(E343:G343)=0),"Спящий",AND(SUM(B343:G343)=0),"Ушедший")</f>
        <v>Действующий</v>
      </c>
      <c r="I343" s="3">
        <f>IF(AND(SUM(B343:D343)=0,SUM(E343:G343)&gt;0),1,0)</f>
        <v>0</v>
      </c>
      <c r="J343" s="3">
        <f t="shared" si="16"/>
        <v>1</v>
      </c>
      <c r="K343" s="3">
        <f t="shared" si="17"/>
        <v>0</v>
      </c>
      <c r="L343" s="3">
        <f t="shared" si="18"/>
        <v>0</v>
      </c>
      <c r="M343" s="3" t="str" cm="1">
        <f t="array" ref="M343">_xlfn.IFS(I343=1,$I$11,J343=1,$J$11,K343=1,$K$11,L343=1,$L$11)</f>
        <v>Действующий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 x14ac:dyDescent="0.3">
      <c r="A344" s="6" t="s">
        <v>613</v>
      </c>
      <c r="B344" s="6">
        <v>1</v>
      </c>
      <c r="C344" s="6">
        <v>3</v>
      </c>
      <c r="D344" s="6">
        <v>1</v>
      </c>
      <c r="E344" s="6">
        <v>2</v>
      </c>
      <c r="F344" s="6">
        <v>2</v>
      </c>
      <c r="G344" s="6">
        <v>2</v>
      </c>
      <c r="H344" s="9" t="str" cm="1">
        <f t="array" ref="H344">_xlfn.IFS(AND(SUM(B344:D344)=0,SUM(E344:G344)&gt;0),"Новый",AND(SUM(B344:D344)&gt;0,SUM(E344:G344)&gt;0),"Действующий",AND(SUM(B344:D344)&gt;0,SUM(E344:G344)=0),"Спящий",AND(SUM(B344:G344)=0),"Ушедший")</f>
        <v>Действующий</v>
      </c>
      <c r="I344" s="3">
        <f>IF(AND(SUM(B344:D344)=0,SUM(E344:G344)&gt;0),1,0)</f>
        <v>0</v>
      </c>
      <c r="J344" s="3">
        <f t="shared" si="16"/>
        <v>1</v>
      </c>
      <c r="K344" s="3">
        <f t="shared" si="17"/>
        <v>0</v>
      </c>
      <c r="L344" s="3">
        <f t="shared" si="18"/>
        <v>0</v>
      </c>
      <c r="M344" s="3" t="str" cm="1">
        <f t="array" ref="M344">_xlfn.IFS(I344=1,$I$11,J344=1,$J$11,K344=1,$K$11,L344=1,$L$11)</f>
        <v>Действующий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75" customHeight="1" x14ac:dyDescent="0.3">
      <c r="A345" s="6" t="s">
        <v>614</v>
      </c>
      <c r="B345" s="6">
        <v>2</v>
      </c>
      <c r="C345" s="6">
        <v>2</v>
      </c>
      <c r="D345" s="6">
        <v>3</v>
      </c>
      <c r="E345" s="6">
        <v>3</v>
      </c>
      <c r="F345" s="6">
        <v>3</v>
      </c>
      <c r="G345" s="6">
        <v>4</v>
      </c>
      <c r="H345" s="9" t="str" cm="1">
        <f t="array" ref="H345">_xlfn.IFS(AND(SUM(B345:D345)=0,SUM(E345:G345)&gt;0),"Новый",AND(SUM(B345:D345)&gt;0,SUM(E345:G345)&gt;0),"Действующий",AND(SUM(B345:D345)&gt;0,SUM(E345:G345)=0),"Спящий",AND(SUM(B345:G345)=0),"Ушедший")</f>
        <v>Действующий</v>
      </c>
      <c r="I345" s="3">
        <f>IF(AND(SUM(B345:D345)=0,SUM(E345:G345)&gt;0),1,0)</f>
        <v>0</v>
      </c>
      <c r="J345" s="3">
        <f t="shared" si="16"/>
        <v>1</v>
      </c>
      <c r="K345" s="3">
        <f t="shared" si="17"/>
        <v>0</v>
      </c>
      <c r="L345" s="3">
        <f t="shared" si="18"/>
        <v>0</v>
      </c>
      <c r="M345" s="3" t="str" cm="1">
        <f t="array" ref="M345">_xlfn.IFS(I345=1,$I$11,J345=1,$J$11,K345=1,$K$11,L345=1,$L$11)</f>
        <v>Действующий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 x14ac:dyDescent="0.3">
      <c r="A346" s="6" t="s">
        <v>615</v>
      </c>
      <c r="B346" s="6"/>
      <c r="C346" s="6"/>
      <c r="D346" s="6">
        <v>1</v>
      </c>
      <c r="E346" s="6">
        <v>1</v>
      </c>
      <c r="F346" s="6"/>
      <c r="G346" s="6"/>
      <c r="H346" s="9" t="str" cm="1">
        <f t="array" ref="H346">_xlfn.IFS(AND(SUM(B346:D346)=0,SUM(E346:G346)&gt;0),"Новый",AND(SUM(B346:D346)&gt;0,SUM(E346:G346)&gt;0),"Действующий",AND(SUM(B346:D346)&gt;0,SUM(E346:G346)=0),"Спящий",AND(SUM(B346:G346)=0),"Ушедший")</f>
        <v>Действующий</v>
      </c>
      <c r="I346" s="3">
        <f>IF(AND(SUM(B346:D346)=0,SUM(E346:G346)&gt;0),1,0)</f>
        <v>0</v>
      </c>
      <c r="J346" s="3">
        <f t="shared" si="16"/>
        <v>1</v>
      </c>
      <c r="K346" s="3">
        <f t="shared" si="17"/>
        <v>0</v>
      </c>
      <c r="L346" s="3">
        <f t="shared" si="18"/>
        <v>0</v>
      </c>
      <c r="M346" s="3" t="str" cm="1">
        <f t="array" ref="M346">_xlfn.IFS(I346=1,$I$11,J346=1,$J$11,K346=1,$K$11,L346=1,$L$11)</f>
        <v>Действующий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75" customHeight="1" x14ac:dyDescent="0.3">
      <c r="A347" s="6" t="s">
        <v>616</v>
      </c>
      <c r="B347" s="6"/>
      <c r="C347" s="6"/>
      <c r="D347" s="6"/>
      <c r="E347" s="6"/>
      <c r="F347" s="6"/>
      <c r="G347" s="6">
        <v>1</v>
      </c>
      <c r="H347" s="9" t="str" cm="1">
        <f t="array" ref="H347">_xlfn.IFS(AND(SUM(B347:D347)=0,SUM(E347:G347)&gt;0),"Новый",AND(SUM(B347:D347)&gt;0,SUM(E347:G347)&gt;0),"Действующий",AND(SUM(B347:D347)&gt;0,SUM(E347:G347)=0),"Спящий",AND(SUM(B347:G347)=0),"Ушедший")</f>
        <v>Новый</v>
      </c>
      <c r="I347" s="3">
        <f>IF(AND(SUM(B347:D347)=0,SUM(E347:G347)&gt;0),1,0)</f>
        <v>1</v>
      </c>
      <c r="J347" s="3">
        <f t="shared" si="16"/>
        <v>0</v>
      </c>
      <c r="K347" s="3">
        <f t="shared" si="17"/>
        <v>0</v>
      </c>
      <c r="L347" s="3">
        <f t="shared" si="18"/>
        <v>0</v>
      </c>
      <c r="M347" s="3" t="str" cm="1">
        <f t="array" ref="M347">_xlfn.IFS(I347=1,$I$11,J347=1,$J$11,K347=1,$K$11,L347=1,$L$11)</f>
        <v>Новый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 x14ac:dyDescent="0.3">
      <c r="A348" s="6" t="s">
        <v>617</v>
      </c>
      <c r="B348" s="6"/>
      <c r="C348" s="6">
        <v>1</v>
      </c>
      <c r="D348" s="6"/>
      <c r="E348" s="6"/>
      <c r="F348" s="6"/>
      <c r="G348" s="6"/>
      <c r="H348" s="9" t="str" cm="1">
        <f t="array" ref="H348">_xlfn.IFS(AND(SUM(B348:D348)=0,SUM(E348:G348)&gt;0),"Новый",AND(SUM(B348:D348)&gt;0,SUM(E348:G348)&gt;0),"Действующий",AND(SUM(B348:D348)&gt;0,SUM(E348:G348)=0),"Спящий",AND(SUM(B348:G348)=0),"Ушедший")</f>
        <v>Спящий</v>
      </c>
      <c r="I348" s="3">
        <f>IF(AND(SUM(B348:D348)=0,SUM(E348:G348)&gt;0),1,0)</f>
        <v>0</v>
      </c>
      <c r="J348" s="3">
        <f t="shared" si="16"/>
        <v>0</v>
      </c>
      <c r="K348" s="3">
        <f t="shared" si="17"/>
        <v>1</v>
      </c>
      <c r="L348" s="3">
        <f t="shared" si="18"/>
        <v>0</v>
      </c>
      <c r="M348" s="3" t="str" cm="1">
        <f t="array" ref="M348">_xlfn.IFS(I348=1,$I$11,J348=1,$J$11,K348=1,$K$11,L348=1,$L$11)</f>
        <v>Спящий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75" customHeight="1" x14ac:dyDescent="0.3">
      <c r="A349" s="6" t="s">
        <v>618</v>
      </c>
      <c r="B349" s="6"/>
      <c r="C349" s="6"/>
      <c r="D349" s="6"/>
      <c r="E349" s="6">
        <v>1</v>
      </c>
      <c r="F349" s="6"/>
      <c r="G349" s="6"/>
      <c r="H349" s="9" t="str" cm="1">
        <f t="array" ref="H349">_xlfn.IFS(AND(SUM(B349:D349)=0,SUM(E349:G349)&gt;0),"Новый",AND(SUM(B349:D349)&gt;0,SUM(E349:G349)&gt;0),"Действующий",AND(SUM(B349:D349)&gt;0,SUM(E349:G349)=0),"Спящий",AND(SUM(B349:G349)=0),"Ушедший")</f>
        <v>Новый</v>
      </c>
      <c r="I349" s="3">
        <f>IF(AND(SUM(B349:D349)=0,SUM(E349:G349)&gt;0),1,0)</f>
        <v>1</v>
      </c>
      <c r="J349" s="3">
        <f t="shared" si="16"/>
        <v>0</v>
      </c>
      <c r="K349" s="3">
        <f t="shared" si="17"/>
        <v>0</v>
      </c>
      <c r="L349" s="3">
        <f t="shared" si="18"/>
        <v>0</v>
      </c>
      <c r="M349" s="3" t="str" cm="1">
        <f t="array" ref="M349">_xlfn.IFS(I349=1,$I$11,J349=1,$J$11,K349=1,$K$11,L349=1,$L$11)</f>
        <v>Новый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 x14ac:dyDescent="0.3">
      <c r="A350" s="6" t="s">
        <v>619</v>
      </c>
      <c r="B350" s="6">
        <v>1</v>
      </c>
      <c r="C350" s="6"/>
      <c r="D350" s="6"/>
      <c r="E350" s="6"/>
      <c r="F350" s="6"/>
      <c r="G350" s="6"/>
      <c r="H350" s="9" t="str" cm="1">
        <f t="array" ref="H350">_xlfn.IFS(AND(SUM(B350:D350)=0,SUM(E350:G350)&gt;0),"Новый",AND(SUM(B350:D350)&gt;0,SUM(E350:G350)&gt;0),"Действующий",AND(SUM(B350:D350)&gt;0,SUM(E350:G350)=0),"Спящий",AND(SUM(B350:G350)=0),"Ушедший")</f>
        <v>Спящий</v>
      </c>
      <c r="I350" s="3">
        <f>IF(AND(SUM(B350:D350)=0,SUM(E350:G350)&gt;0),1,0)</f>
        <v>0</v>
      </c>
      <c r="J350" s="3">
        <f t="shared" si="16"/>
        <v>0</v>
      </c>
      <c r="K350" s="3">
        <f t="shared" si="17"/>
        <v>1</v>
      </c>
      <c r="L350" s="3">
        <f t="shared" si="18"/>
        <v>0</v>
      </c>
      <c r="M350" s="3" t="str" cm="1">
        <f t="array" ref="M350">_xlfn.IFS(I350=1,$I$11,J350=1,$J$11,K350=1,$K$11,L350=1,$L$11)</f>
        <v>Спящий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75" customHeight="1" x14ac:dyDescent="0.3">
      <c r="A351" s="6" t="s">
        <v>620</v>
      </c>
      <c r="B351" s="6"/>
      <c r="C351" s="6"/>
      <c r="D351" s="6">
        <v>1</v>
      </c>
      <c r="E351" s="6"/>
      <c r="F351" s="6"/>
      <c r="G351" s="6"/>
      <c r="H351" s="9" t="str" cm="1">
        <f t="array" ref="H351">_xlfn.IFS(AND(SUM(B351:D351)=0,SUM(E351:G351)&gt;0),"Новый",AND(SUM(B351:D351)&gt;0,SUM(E351:G351)&gt;0),"Действующий",AND(SUM(B351:D351)&gt;0,SUM(E351:G351)=0),"Спящий",AND(SUM(B351:G351)=0),"Ушедший")</f>
        <v>Спящий</v>
      </c>
      <c r="I351" s="3">
        <f>IF(AND(SUM(B351:D351)=0,SUM(E351:G351)&gt;0),1,0)</f>
        <v>0</v>
      </c>
      <c r="J351" s="3">
        <f t="shared" si="16"/>
        <v>0</v>
      </c>
      <c r="K351" s="3">
        <f t="shared" si="17"/>
        <v>1</v>
      </c>
      <c r="L351" s="3">
        <f t="shared" si="18"/>
        <v>0</v>
      </c>
      <c r="M351" s="3" t="str" cm="1">
        <f t="array" ref="M351">_xlfn.IFS(I351=1,$I$11,J351=1,$J$11,K351=1,$K$11,L351=1,$L$11)</f>
        <v>Спящий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 x14ac:dyDescent="0.3">
      <c r="A352" s="6" t="s">
        <v>621</v>
      </c>
      <c r="B352" s="6">
        <v>1</v>
      </c>
      <c r="C352" s="6">
        <v>2</v>
      </c>
      <c r="D352" s="6">
        <v>1</v>
      </c>
      <c r="E352" s="6">
        <v>1</v>
      </c>
      <c r="F352" s="6">
        <v>2</v>
      </c>
      <c r="G352" s="6">
        <v>1</v>
      </c>
      <c r="H352" s="9" t="str" cm="1">
        <f t="array" ref="H352">_xlfn.IFS(AND(SUM(B352:D352)=0,SUM(E352:G352)&gt;0),"Новый",AND(SUM(B352:D352)&gt;0,SUM(E352:G352)&gt;0),"Действующий",AND(SUM(B352:D352)&gt;0,SUM(E352:G352)=0),"Спящий",AND(SUM(B352:G352)=0),"Ушедший")</f>
        <v>Действующий</v>
      </c>
      <c r="I352" s="3">
        <f>IF(AND(SUM(B352:D352)=0,SUM(E352:G352)&gt;0),1,0)</f>
        <v>0</v>
      </c>
      <c r="J352" s="3">
        <f t="shared" si="16"/>
        <v>1</v>
      </c>
      <c r="K352" s="3">
        <f t="shared" si="17"/>
        <v>0</v>
      </c>
      <c r="L352" s="3">
        <f t="shared" si="18"/>
        <v>0</v>
      </c>
      <c r="M352" s="3" t="str" cm="1">
        <f t="array" ref="M352">_xlfn.IFS(I352=1,$I$11,J352=1,$J$11,K352=1,$K$11,L352=1,$L$11)</f>
        <v>Действующий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75" customHeight="1" x14ac:dyDescent="0.3">
      <c r="A353" s="6" t="s">
        <v>622</v>
      </c>
      <c r="B353" s="6"/>
      <c r="C353" s="6"/>
      <c r="D353" s="6"/>
      <c r="E353" s="6"/>
      <c r="F353" s="6"/>
      <c r="G353" s="6">
        <v>1</v>
      </c>
      <c r="H353" s="9" t="str" cm="1">
        <f t="array" ref="H353">_xlfn.IFS(AND(SUM(B353:D353)=0,SUM(E353:G353)&gt;0),"Новый",AND(SUM(B353:D353)&gt;0,SUM(E353:G353)&gt;0),"Действующий",AND(SUM(B353:D353)&gt;0,SUM(E353:G353)=0),"Спящий",AND(SUM(B353:G353)=0),"Ушедший")</f>
        <v>Новый</v>
      </c>
      <c r="I353" s="3">
        <f>IF(AND(SUM(B353:D353)=0,SUM(E353:G353)&gt;0),1,0)</f>
        <v>1</v>
      </c>
      <c r="J353" s="3">
        <f t="shared" si="16"/>
        <v>0</v>
      </c>
      <c r="K353" s="3">
        <f t="shared" si="17"/>
        <v>0</v>
      </c>
      <c r="L353" s="3">
        <f t="shared" si="18"/>
        <v>0</v>
      </c>
      <c r="M353" s="3" t="str" cm="1">
        <f t="array" ref="M353">_xlfn.IFS(I353=1,$I$11,J353=1,$J$11,K353=1,$K$11,L353=1,$L$11)</f>
        <v>Новый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 x14ac:dyDescent="0.3">
      <c r="A354" s="6" t="s">
        <v>623</v>
      </c>
      <c r="B354" s="6">
        <v>1</v>
      </c>
      <c r="C354" s="6"/>
      <c r="D354" s="6"/>
      <c r="E354" s="6"/>
      <c r="F354" s="6"/>
      <c r="G354" s="6"/>
      <c r="H354" s="9" t="str" cm="1">
        <f t="array" ref="H354">_xlfn.IFS(AND(SUM(B354:D354)=0,SUM(E354:G354)&gt;0),"Новый",AND(SUM(B354:D354)&gt;0,SUM(E354:G354)&gt;0),"Действующий",AND(SUM(B354:D354)&gt;0,SUM(E354:G354)=0),"Спящий",AND(SUM(B354:G354)=0),"Ушедший")</f>
        <v>Спящий</v>
      </c>
      <c r="I354" s="3">
        <f>IF(AND(SUM(B354:D354)=0,SUM(E354:G354)&gt;0),1,0)</f>
        <v>0</v>
      </c>
      <c r="J354" s="3">
        <f t="shared" si="16"/>
        <v>0</v>
      </c>
      <c r="K354" s="3">
        <f t="shared" si="17"/>
        <v>1</v>
      </c>
      <c r="L354" s="3">
        <f t="shared" si="18"/>
        <v>0</v>
      </c>
      <c r="M354" s="3" t="str" cm="1">
        <f t="array" ref="M354">_xlfn.IFS(I354=1,$I$11,J354=1,$J$11,K354=1,$K$11,L354=1,$L$11)</f>
        <v>Спящий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75" customHeight="1" x14ac:dyDescent="0.3">
      <c r="A355" s="6" t="s">
        <v>624</v>
      </c>
      <c r="B355" s="6"/>
      <c r="C355" s="6"/>
      <c r="D355" s="6"/>
      <c r="E355" s="6"/>
      <c r="F355" s="6">
        <v>1</v>
      </c>
      <c r="G355" s="6"/>
      <c r="H355" s="9" t="str" cm="1">
        <f t="array" ref="H355">_xlfn.IFS(AND(SUM(B355:D355)=0,SUM(E355:G355)&gt;0),"Новый",AND(SUM(B355:D355)&gt;0,SUM(E355:G355)&gt;0),"Действующий",AND(SUM(B355:D355)&gt;0,SUM(E355:G355)=0),"Спящий",AND(SUM(B355:G355)=0),"Ушедший")</f>
        <v>Новый</v>
      </c>
      <c r="I355" s="3">
        <f>IF(AND(SUM(B355:D355)=0,SUM(E355:G355)&gt;0),1,0)</f>
        <v>1</v>
      </c>
      <c r="J355" s="3">
        <f t="shared" si="16"/>
        <v>0</v>
      </c>
      <c r="K355" s="3">
        <f t="shared" si="17"/>
        <v>0</v>
      </c>
      <c r="L355" s="3">
        <f t="shared" si="18"/>
        <v>0</v>
      </c>
      <c r="M355" s="3" t="str" cm="1">
        <f t="array" ref="M355">_xlfn.IFS(I355=1,$I$11,J355=1,$J$11,K355=1,$K$11,L355=1,$L$11)</f>
        <v>Новый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 x14ac:dyDescent="0.3">
      <c r="A356" s="6" t="s">
        <v>625</v>
      </c>
      <c r="B356" s="6"/>
      <c r="C356" s="6"/>
      <c r="D356" s="6"/>
      <c r="E356" s="6">
        <v>2</v>
      </c>
      <c r="F356" s="6">
        <v>1</v>
      </c>
      <c r="G356" s="6"/>
      <c r="H356" s="9" t="str" cm="1">
        <f t="array" ref="H356">_xlfn.IFS(AND(SUM(B356:D356)=0,SUM(E356:G356)&gt;0),"Новый",AND(SUM(B356:D356)&gt;0,SUM(E356:G356)&gt;0),"Действующий",AND(SUM(B356:D356)&gt;0,SUM(E356:G356)=0),"Спящий",AND(SUM(B356:G356)=0),"Ушедший")</f>
        <v>Новый</v>
      </c>
      <c r="I356" s="3">
        <f>IF(AND(SUM(B356:D356)=0,SUM(E356:G356)&gt;0),1,0)</f>
        <v>1</v>
      </c>
      <c r="J356" s="3">
        <f t="shared" si="16"/>
        <v>0</v>
      </c>
      <c r="K356" s="3">
        <f t="shared" si="17"/>
        <v>0</v>
      </c>
      <c r="L356" s="3">
        <f t="shared" si="18"/>
        <v>0</v>
      </c>
      <c r="M356" s="3" t="str" cm="1">
        <f t="array" ref="M356">_xlfn.IFS(I356=1,$I$11,J356=1,$J$11,K356=1,$K$11,L356=1,$L$11)</f>
        <v>Новый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75" customHeight="1" x14ac:dyDescent="0.3">
      <c r="A357" s="6" t="s">
        <v>626</v>
      </c>
      <c r="B357" s="6"/>
      <c r="C357" s="6"/>
      <c r="D357" s="6"/>
      <c r="E357" s="6"/>
      <c r="F357" s="6">
        <v>1</v>
      </c>
      <c r="G357" s="6"/>
      <c r="H357" s="9" t="str" cm="1">
        <f t="array" ref="H357">_xlfn.IFS(AND(SUM(B357:D357)=0,SUM(E357:G357)&gt;0),"Новый",AND(SUM(B357:D357)&gt;0,SUM(E357:G357)&gt;0),"Действующий",AND(SUM(B357:D357)&gt;0,SUM(E357:G357)=0),"Спящий",AND(SUM(B357:G357)=0),"Ушедший")</f>
        <v>Новый</v>
      </c>
      <c r="I357" s="3">
        <f>IF(AND(SUM(B357:D357)=0,SUM(E357:G357)&gt;0),1,0)</f>
        <v>1</v>
      </c>
      <c r="J357" s="3">
        <f t="shared" si="16"/>
        <v>0</v>
      </c>
      <c r="K357" s="3">
        <f t="shared" si="17"/>
        <v>0</v>
      </c>
      <c r="L357" s="3">
        <f t="shared" si="18"/>
        <v>0</v>
      </c>
      <c r="M357" s="3" t="str" cm="1">
        <f t="array" ref="M357">_xlfn.IFS(I357=1,$I$11,J357=1,$J$11,K357=1,$K$11,L357=1,$L$11)</f>
        <v>Новый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 x14ac:dyDescent="0.3">
      <c r="A358" s="6" t="s">
        <v>627</v>
      </c>
      <c r="B358" s="6"/>
      <c r="C358" s="6">
        <v>2</v>
      </c>
      <c r="D358" s="6">
        <v>1</v>
      </c>
      <c r="E358" s="6"/>
      <c r="F358" s="6"/>
      <c r="G358" s="6">
        <v>1</v>
      </c>
      <c r="H358" s="9" t="str" cm="1">
        <f t="array" ref="H358">_xlfn.IFS(AND(SUM(B358:D358)=0,SUM(E358:G358)&gt;0),"Новый",AND(SUM(B358:D358)&gt;0,SUM(E358:G358)&gt;0),"Действующий",AND(SUM(B358:D358)&gt;0,SUM(E358:G358)=0),"Спящий",AND(SUM(B358:G358)=0),"Ушедший")</f>
        <v>Действующий</v>
      </c>
      <c r="I358" s="3">
        <f>IF(AND(SUM(B358:D358)=0,SUM(E358:G358)&gt;0),1,0)</f>
        <v>0</v>
      </c>
      <c r="J358" s="3">
        <f t="shared" si="16"/>
        <v>1</v>
      </c>
      <c r="K358" s="3">
        <f t="shared" si="17"/>
        <v>0</v>
      </c>
      <c r="L358" s="3">
        <f t="shared" si="18"/>
        <v>0</v>
      </c>
      <c r="M358" s="3" t="str" cm="1">
        <f t="array" ref="M358">_xlfn.IFS(I358=1,$I$11,J358=1,$J$11,K358=1,$K$11,L358=1,$L$11)</f>
        <v>Действующий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75" customHeight="1" x14ac:dyDescent="0.3">
      <c r="A359" s="6" t="s">
        <v>628</v>
      </c>
      <c r="B359" s="6"/>
      <c r="C359" s="6"/>
      <c r="D359" s="6"/>
      <c r="E359" s="6"/>
      <c r="F359" s="6">
        <v>1</v>
      </c>
      <c r="G359" s="6"/>
      <c r="H359" s="9" t="str" cm="1">
        <f t="array" ref="H359">_xlfn.IFS(AND(SUM(B359:D359)=0,SUM(E359:G359)&gt;0),"Новый",AND(SUM(B359:D359)&gt;0,SUM(E359:G359)&gt;0),"Действующий",AND(SUM(B359:D359)&gt;0,SUM(E359:G359)=0),"Спящий",AND(SUM(B359:G359)=0),"Ушедший")</f>
        <v>Новый</v>
      </c>
      <c r="I359" s="3">
        <f>IF(AND(SUM(B359:D359)=0,SUM(E359:G359)&gt;0),1,0)</f>
        <v>1</v>
      </c>
      <c r="J359" s="3">
        <f t="shared" si="16"/>
        <v>0</v>
      </c>
      <c r="K359" s="3">
        <f t="shared" si="17"/>
        <v>0</v>
      </c>
      <c r="L359" s="3">
        <f t="shared" si="18"/>
        <v>0</v>
      </c>
      <c r="M359" s="3" t="str" cm="1">
        <f t="array" ref="M359">_xlfn.IFS(I359=1,$I$11,J359=1,$J$11,K359=1,$K$11,L359=1,$L$11)</f>
        <v>Новый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 x14ac:dyDescent="0.3">
      <c r="A360" s="6" t="s">
        <v>629</v>
      </c>
      <c r="B360" s="6">
        <v>2</v>
      </c>
      <c r="C360" s="6">
        <v>1</v>
      </c>
      <c r="D360" s="6"/>
      <c r="E360" s="6">
        <v>1</v>
      </c>
      <c r="F360" s="6"/>
      <c r="G360" s="6">
        <v>1</v>
      </c>
      <c r="H360" s="9" t="str" cm="1">
        <f t="array" ref="H360">_xlfn.IFS(AND(SUM(B360:D360)=0,SUM(E360:G360)&gt;0),"Новый",AND(SUM(B360:D360)&gt;0,SUM(E360:G360)&gt;0),"Действующий",AND(SUM(B360:D360)&gt;0,SUM(E360:G360)=0),"Спящий",AND(SUM(B360:G360)=0),"Ушедший")</f>
        <v>Действующий</v>
      </c>
      <c r="I360" s="3">
        <f>IF(AND(SUM(B360:D360)=0,SUM(E360:G360)&gt;0),1,0)</f>
        <v>0</v>
      </c>
      <c r="J360" s="3">
        <f t="shared" si="16"/>
        <v>1</v>
      </c>
      <c r="K360" s="3">
        <f t="shared" si="17"/>
        <v>0</v>
      </c>
      <c r="L360" s="3">
        <f t="shared" si="18"/>
        <v>0</v>
      </c>
      <c r="M360" s="3" t="str" cm="1">
        <f t="array" ref="M360">_xlfn.IFS(I360=1,$I$11,J360=1,$J$11,K360=1,$K$11,L360=1,$L$11)</f>
        <v>Действующий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75" customHeight="1" x14ac:dyDescent="0.3">
      <c r="A361" s="6" t="s">
        <v>630</v>
      </c>
      <c r="B361" s="6"/>
      <c r="C361" s="6"/>
      <c r="D361" s="6"/>
      <c r="E361" s="6"/>
      <c r="F361" s="6"/>
      <c r="G361" s="6">
        <v>1</v>
      </c>
      <c r="H361" s="9" t="str" cm="1">
        <f t="array" ref="H361">_xlfn.IFS(AND(SUM(B361:D361)=0,SUM(E361:G361)&gt;0),"Новый",AND(SUM(B361:D361)&gt;0,SUM(E361:G361)&gt;0),"Действующий",AND(SUM(B361:D361)&gt;0,SUM(E361:G361)=0),"Спящий",AND(SUM(B361:G361)=0),"Ушедший")</f>
        <v>Новый</v>
      </c>
      <c r="I361" s="3">
        <f>IF(AND(SUM(B361:D361)=0,SUM(E361:G361)&gt;0),1,0)</f>
        <v>1</v>
      </c>
      <c r="J361" s="3">
        <f t="shared" si="16"/>
        <v>0</v>
      </c>
      <c r="K361" s="3">
        <f t="shared" si="17"/>
        <v>0</v>
      </c>
      <c r="L361" s="3">
        <f t="shared" si="18"/>
        <v>0</v>
      </c>
      <c r="M361" s="3" t="str" cm="1">
        <f t="array" ref="M361">_xlfn.IFS(I361=1,$I$11,J361=1,$J$11,K361=1,$K$11,L361=1,$L$11)</f>
        <v>Новый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 x14ac:dyDescent="0.3">
      <c r="A362" s="6" t="s">
        <v>631</v>
      </c>
      <c r="B362" s="6">
        <v>1</v>
      </c>
      <c r="C362" s="6"/>
      <c r="D362" s="6">
        <v>1</v>
      </c>
      <c r="E362" s="6">
        <v>2</v>
      </c>
      <c r="F362" s="6"/>
      <c r="G362" s="6"/>
      <c r="H362" s="9" t="str" cm="1">
        <f t="array" ref="H362">_xlfn.IFS(AND(SUM(B362:D362)=0,SUM(E362:G362)&gt;0),"Новый",AND(SUM(B362:D362)&gt;0,SUM(E362:G362)&gt;0),"Действующий",AND(SUM(B362:D362)&gt;0,SUM(E362:G362)=0),"Спящий",AND(SUM(B362:G362)=0),"Ушедший")</f>
        <v>Действующий</v>
      </c>
      <c r="I362" s="3">
        <f>IF(AND(SUM(B362:D362)=0,SUM(E362:G362)&gt;0),1,0)</f>
        <v>0</v>
      </c>
      <c r="J362" s="3">
        <f t="shared" si="16"/>
        <v>1</v>
      </c>
      <c r="K362" s="3">
        <f t="shared" si="17"/>
        <v>0</v>
      </c>
      <c r="L362" s="3">
        <f t="shared" si="18"/>
        <v>0</v>
      </c>
      <c r="M362" s="3" t="str" cm="1">
        <f t="array" ref="M362">_xlfn.IFS(I362=1,$I$11,J362=1,$J$11,K362=1,$K$11,L362=1,$L$11)</f>
        <v>Действующий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75" customHeight="1" x14ac:dyDescent="0.3">
      <c r="A363" s="6" t="s">
        <v>632</v>
      </c>
      <c r="B363" s="6"/>
      <c r="C363" s="6"/>
      <c r="D363" s="6"/>
      <c r="E363" s="6"/>
      <c r="F363" s="6"/>
      <c r="G363" s="6"/>
      <c r="H363" s="9" t="str" cm="1">
        <f t="array" ref="H363">_xlfn.IFS(AND(SUM(B363:D363)=0,SUM(E363:G363)&gt;0),"Новый",AND(SUM(B363:D363)&gt;0,SUM(E363:G363)&gt;0),"Действующий",AND(SUM(B363:D363)&gt;0,SUM(E363:G363)=0),"Спящий",AND(SUM(B363:G363)=0),"Ушедший")</f>
        <v>Ушедший</v>
      </c>
      <c r="I363" s="3">
        <f>IF(AND(SUM(B363:D363)=0,SUM(E363:G363)&gt;0),1,0)</f>
        <v>0</v>
      </c>
      <c r="J363" s="3">
        <f t="shared" si="16"/>
        <v>0</v>
      </c>
      <c r="K363" s="3">
        <f t="shared" si="17"/>
        <v>0</v>
      </c>
      <c r="L363" s="3">
        <f t="shared" si="18"/>
        <v>1</v>
      </c>
      <c r="M363" s="3" t="str" cm="1">
        <f t="array" ref="M363">_xlfn.IFS(I363=1,$I$11,J363=1,$J$11,K363=1,$K$11,L363=1,$L$11)</f>
        <v>Ушедший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 x14ac:dyDescent="0.3">
      <c r="A364" s="6" t="s">
        <v>633</v>
      </c>
      <c r="B364" s="6"/>
      <c r="C364" s="6"/>
      <c r="D364" s="6"/>
      <c r="E364" s="6"/>
      <c r="F364" s="6"/>
      <c r="G364" s="6">
        <v>1</v>
      </c>
      <c r="H364" s="9" t="str" cm="1">
        <f t="array" ref="H364">_xlfn.IFS(AND(SUM(B364:D364)=0,SUM(E364:G364)&gt;0),"Новый",AND(SUM(B364:D364)&gt;0,SUM(E364:G364)&gt;0),"Действующий",AND(SUM(B364:D364)&gt;0,SUM(E364:G364)=0),"Спящий",AND(SUM(B364:G364)=0),"Ушедший")</f>
        <v>Новый</v>
      </c>
      <c r="I364" s="3">
        <f>IF(AND(SUM(B364:D364)=0,SUM(E364:G364)&gt;0),1,0)</f>
        <v>1</v>
      </c>
      <c r="J364" s="3">
        <f t="shared" si="16"/>
        <v>0</v>
      </c>
      <c r="K364" s="3">
        <f t="shared" si="17"/>
        <v>0</v>
      </c>
      <c r="L364" s="3">
        <f t="shared" si="18"/>
        <v>0</v>
      </c>
      <c r="M364" s="3" t="str" cm="1">
        <f t="array" ref="M364">_xlfn.IFS(I364=1,$I$11,J364=1,$J$11,K364=1,$K$11,L364=1,$L$11)</f>
        <v>Новый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75" customHeight="1" x14ac:dyDescent="0.3">
      <c r="A365" s="6" t="s">
        <v>634</v>
      </c>
      <c r="B365" s="6"/>
      <c r="C365" s="6"/>
      <c r="D365" s="6"/>
      <c r="E365" s="6"/>
      <c r="F365" s="6"/>
      <c r="G365" s="6"/>
      <c r="H365" s="9" t="str" cm="1">
        <f t="array" ref="H365">_xlfn.IFS(AND(SUM(B365:D365)=0,SUM(E365:G365)&gt;0),"Новый",AND(SUM(B365:D365)&gt;0,SUM(E365:G365)&gt;0),"Действующий",AND(SUM(B365:D365)&gt;0,SUM(E365:G365)=0),"Спящий",AND(SUM(B365:G365)=0),"Ушедший")</f>
        <v>Ушедший</v>
      </c>
      <c r="I365" s="3">
        <f>IF(AND(SUM(B365:D365)=0,SUM(E365:G365)&gt;0),1,0)</f>
        <v>0</v>
      </c>
      <c r="J365" s="3">
        <f t="shared" si="16"/>
        <v>0</v>
      </c>
      <c r="K365" s="3">
        <f t="shared" si="17"/>
        <v>0</v>
      </c>
      <c r="L365" s="3">
        <f t="shared" si="18"/>
        <v>1</v>
      </c>
      <c r="M365" s="3" t="str" cm="1">
        <f t="array" ref="M365">_xlfn.IFS(I365=1,$I$11,J365=1,$J$11,K365=1,$K$11,L365=1,$L$11)</f>
        <v>Ушедший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 x14ac:dyDescent="0.3">
      <c r="A366" s="6" t="s">
        <v>635</v>
      </c>
      <c r="B366" s="6"/>
      <c r="C366" s="6">
        <v>1</v>
      </c>
      <c r="D366" s="6"/>
      <c r="E366" s="6"/>
      <c r="F366" s="6"/>
      <c r="G366" s="6"/>
      <c r="H366" s="9" t="str" cm="1">
        <f t="array" ref="H366">_xlfn.IFS(AND(SUM(B366:D366)=0,SUM(E366:G366)&gt;0),"Новый",AND(SUM(B366:D366)&gt;0,SUM(E366:G366)&gt;0),"Действующий",AND(SUM(B366:D366)&gt;0,SUM(E366:G366)=0),"Спящий",AND(SUM(B366:G366)=0),"Ушедший")</f>
        <v>Спящий</v>
      </c>
      <c r="I366" s="3">
        <f>IF(AND(SUM(B366:D366)=0,SUM(E366:G366)&gt;0),1,0)</f>
        <v>0</v>
      </c>
      <c r="J366" s="3">
        <f t="shared" si="16"/>
        <v>0</v>
      </c>
      <c r="K366" s="3">
        <f t="shared" si="17"/>
        <v>1</v>
      </c>
      <c r="L366" s="3">
        <f t="shared" si="18"/>
        <v>0</v>
      </c>
      <c r="M366" s="3" t="str" cm="1">
        <f t="array" ref="M366">_xlfn.IFS(I366=1,$I$11,J366=1,$J$11,K366=1,$K$11,L366=1,$L$11)</f>
        <v>Спящий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75" customHeight="1" x14ac:dyDescent="0.3">
      <c r="A367" s="6" t="s">
        <v>636</v>
      </c>
      <c r="B367" s="6">
        <v>3</v>
      </c>
      <c r="C367" s="6"/>
      <c r="D367" s="6">
        <v>1</v>
      </c>
      <c r="E367" s="6"/>
      <c r="F367" s="6">
        <v>1</v>
      </c>
      <c r="G367" s="6"/>
      <c r="H367" s="9" t="str" cm="1">
        <f t="array" ref="H367">_xlfn.IFS(AND(SUM(B367:D367)=0,SUM(E367:G367)&gt;0),"Новый",AND(SUM(B367:D367)&gt;0,SUM(E367:G367)&gt;0),"Действующий",AND(SUM(B367:D367)&gt;0,SUM(E367:G367)=0),"Спящий",AND(SUM(B367:G367)=0),"Ушедший")</f>
        <v>Действующий</v>
      </c>
      <c r="I367" s="3">
        <f>IF(AND(SUM(B367:D367)=0,SUM(E367:G367)&gt;0),1,0)</f>
        <v>0</v>
      </c>
      <c r="J367" s="3">
        <f t="shared" si="16"/>
        <v>1</v>
      </c>
      <c r="K367" s="3">
        <f t="shared" si="17"/>
        <v>0</v>
      </c>
      <c r="L367" s="3">
        <f t="shared" si="18"/>
        <v>0</v>
      </c>
      <c r="M367" s="3" t="str" cm="1">
        <f t="array" ref="M367">_xlfn.IFS(I367=1,$I$11,J367=1,$J$11,K367=1,$K$11,L367=1,$L$11)</f>
        <v>Действующий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 x14ac:dyDescent="0.3">
      <c r="A368" s="6" t="s">
        <v>637</v>
      </c>
      <c r="B368" s="6"/>
      <c r="C368" s="6"/>
      <c r="D368" s="6">
        <v>1</v>
      </c>
      <c r="E368" s="6">
        <v>2</v>
      </c>
      <c r="F368" s="6">
        <v>1</v>
      </c>
      <c r="G368" s="6">
        <v>1</v>
      </c>
      <c r="H368" s="9" t="str" cm="1">
        <f t="array" ref="H368">_xlfn.IFS(AND(SUM(B368:D368)=0,SUM(E368:G368)&gt;0),"Новый",AND(SUM(B368:D368)&gt;0,SUM(E368:G368)&gt;0),"Действующий",AND(SUM(B368:D368)&gt;0,SUM(E368:G368)=0),"Спящий",AND(SUM(B368:G368)=0),"Ушедший")</f>
        <v>Действующий</v>
      </c>
      <c r="I368" s="3">
        <f>IF(AND(SUM(B368:D368)=0,SUM(E368:G368)&gt;0),1,0)</f>
        <v>0</v>
      </c>
      <c r="J368" s="3">
        <f t="shared" si="16"/>
        <v>1</v>
      </c>
      <c r="K368" s="3">
        <f t="shared" si="17"/>
        <v>0</v>
      </c>
      <c r="L368" s="3">
        <f t="shared" si="18"/>
        <v>0</v>
      </c>
      <c r="M368" s="3" t="str" cm="1">
        <f t="array" ref="M368">_xlfn.IFS(I368=1,$I$11,J368=1,$J$11,K368=1,$K$11,L368=1,$L$11)</f>
        <v>Действующий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75" customHeight="1" x14ac:dyDescent="0.3">
      <c r="A369" s="6" t="s">
        <v>638</v>
      </c>
      <c r="B369" s="6"/>
      <c r="C369" s="6"/>
      <c r="D369" s="6">
        <v>2</v>
      </c>
      <c r="E369" s="6"/>
      <c r="F369" s="6">
        <v>1</v>
      </c>
      <c r="G369" s="6"/>
      <c r="H369" s="9" t="str" cm="1">
        <f t="array" ref="H369">_xlfn.IFS(AND(SUM(B369:D369)=0,SUM(E369:G369)&gt;0),"Новый",AND(SUM(B369:D369)&gt;0,SUM(E369:G369)&gt;0),"Действующий",AND(SUM(B369:D369)&gt;0,SUM(E369:G369)=0),"Спящий",AND(SUM(B369:G369)=0),"Ушедший")</f>
        <v>Действующий</v>
      </c>
      <c r="I369" s="3">
        <f>IF(AND(SUM(B369:D369)=0,SUM(E369:G369)&gt;0),1,0)</f>
        <v>0</v>
      </c>
      <c r="J369" s="3">
        <f t="shared" si="16"/>
        <v>1</v>
      </c>
      <c r="K369" s="3">
        <f t="shared" si="17"/>
        <v>0</v>
      </c>
      <c r="L369" s="3">
        <f t="shared" si="18"/>
        <v>0</v>
      </c>
      <c r="M369" s="3" t="str" cm="1">
        <f t="array" ref="M369">_xlfn.IFS(I369=1,$I$11,J369=1,$J$11,K369=1,$K$11,L369=1,$L$11)</f>
        <v>Действующий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 x14ac:dyDescent="0.3">
      <c r="A370" s="6" t="s">
        <v>639</v>
      </c>
      <c r="B370" s="6"/>
      <c r="C370" s="6">
        <v>1</v>
      </c>
      <c r="D370" s="6"/>
      <c r="E370" s="6"/>
      <c r="F370" s="6"/>
      <c r="G370" s="6"/>
      <c r="H370" s="9" t="str" cm="1">
        <f t="array" ref="H370">_xlfn.IFS(AND(SUM(B370:D370)=0,SUM(E370:G370)&gt;0),"Новый",AND(SUM(B370:D370)&gt;0,SUM(E370:G370)&gt;0),"Действующий",AND(SUM(B370:D370)&gt;0,SUM(E370:G370)=0),"Спящий",AND(SUM(B370:G370)=0),"Ушедший")</f>
        <v>Спящий</v>
      </c>
      <c r="I370" s="3">
        <f>IF(AND(SUM(B370:D370)=0,SUM(E370:G370)&gt;0),1,0)</f>
        <v>0</v>
      </c>
      <c r="J370" s="3">
        <f t="shared" si="16"/>
        <v>0</v>
      </c>
      <c r="K370" s="3">
        <f t="shared" si="17"/>
        <v>1</v>
      </c>
      <c r="L370" s="3">
        <f t="shared" si="18"/>
        <v>0</v>
      </c>
      <c r="M370" s="3" t="str" cm="1">
        <f t="array" ref="M370">_xlfn.IFS(I370=1,$I$11,J370=1,$J$11,K370=1,$K$11,L370=1,$L$11)</f>
        <v>Спящий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75" customHeight="1" x14ac:dyDescent="0.3">
      <c r="A371" s="6" t="s">
        <v>640</v>
      </c>
      <c r="B371" s="6"/>
      <c r="C371" s="6"/>
      <c r="D371" s="6"/>
      <c r="E371" s="6"/>
      <c r="F371" s="6"/>
      <c r="G371" s="6"/>
      <c r="H371" s="9" t="str" cm="1">
        <f t="array" ref="H371">_xlfn.IFS(AND(SUM(B371:D371)=0,SUM(E371:G371)&gt;0),"Новый",AND(SUM(B371:D371)&gt;0,SUM(E371:G371)&gt;0),"Действующий",AND(SUM(B371:D371)&gt;0,SUM(E371:G371)=0),"Спящий",AND(SUM(B371:G371)=0),"Ушедший")</f>
        <v>Ушедший</v>
      </c>
      <c r="I371" s="3">
        <f>IF(AND(SUM(B371:D371)=0,SUM(E371:G371)&gt;0),1,0)</f>
        <v>0</v>
      </c>
      <c r="J371" s="3">
        <f t="shared" si="16"/>
        <v>0</v>
      </c>
      <c r="K371" s="3">
        <f t="shared" si="17"/>
        <v>0</v>
      </c>
      <c r="L371" s="3">
        <f t="shared" si="18"/>
        <v>1</v>
      </c>
      <c r="M371" s="3" t="str" cm="1">
        <f t="array" ref="M371">_xlfn.IFS(I371=1,$I$11,J371=1,$J$11,K371=1,$K$11,L371=1,$L$11)</f>
        <v>Ушедший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 x14ac:dyDescent="0.3">
      <c r="A372" s="6" t="s">
        <v>641</v>
      </c>
      <c r="B372" s="6">
        <v>5</v>
      </c>
      <c r="C372" s="6">
        <v>3</v>
      </c>
      <c r="D372" s="6">
        <v>4</v>
      </c>
      <c r="E372" s="6">
        <v>7</v>
      </c>
      <c r="F372" s="6">
        <v>4</v>
      </c>
      <c r="G372" s="6">
        <v>4</v>
      </c>
      <c r="H372" s="9" t="str" cm="1">
        <f t="array" ref="H372">_xlfn.IFS(AND(SUM(B372:D372)=0,SUM(E372:G372)&gt;0),"Новый",AND(SUM(B372:D372)&gt;0,SUM(E372:G372)&gt;0),"Действующий",AND(SUM(B372:D372)&gt;0,SUM(E372:G372)=0),"Спящий",AND(SUM(B372:G372)=0),"Ушедший")</f>
        <v>Действующий</v>
      </c>
      <c r="I372" s="3">
        <f>IF(AND(SUM(B372:D372)=0,SUM(E372:G372)&gt;0),1,0)</f>
        <v>0</v>
      </c>
      <c r="J372" s="3">
        <f t="shared" si="16"/>
        <v>1</v>
      </c>
      <c r="K372" s="3">
        <f t="shared" si="17"/>
        <v>0</v>
      </c>
      <c r="L372" s="3">
        <f t="shared" si="18"/>
        <v>0</v>
      </c>
      <c r="M372" s="3" t="str" cm="1">
        <f t="array" ref="M372">_xlfn.IFS(I372=1,$I$11,J372=1,$J$11,K372=1,$K$11,L372=1,$L$11)</f>
        <v>Действующий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75" customHeight="1" x14ac:dyDescent="0.3">
      <c r="A373" s="6" t="s">
        <v>642</v>
      </c>
      <c r="B373" s="6"/>
      <c r="C373" s="6">
        <v>1</v>
      </c>
      <c r="D373" s="6">
        <v>1</v>
      </c>
      <c r="E373" s="6">
        <v>1</v>
      </c>
      <c r="F373" s="6">
        <v>1</v>
      </c>
      <c r="G373" s="6"/>
      <c r="H373" s="9" t="str" cm="1">
        <f t="array" ref="H373">_xlfn.IFS(AND(SUM(B373:D373)=0,SUM(E373:G373)&gt;0),"Новый",AND(SUM(B373:D373)&gt;0,SUM(E373:G373)&gt;0),"Действующий",AND(SUM(B373:D373)&gt;0,SUM(E373:G373)=0),"Спящий",AND(SUM(B373:G373)=0),"Ушедший")</f>
        <v>Действующий</v>
      </c>
      <c r="I373" s="3">
        <f>IF(AND(SUM(B373:D373)=0,SUM(E373:G373)&gt;0),1,0)</f>
        <v>0</v>
      </c>
      <c r="J373" s="3">
        <f t="shared" si="16"/>
        <v>1</v>
      </c>
      <c r="K373" s="3">
        <f t="shared" si="17"/>
        <v>0</v>
      </c>
      <c r="L373" s="3">
        <f t="shared" si="18"/>
        <v>0</v>
      </c>
      <c r="M373" s="3" t="str" cm="1">
        <f t="array" ref="M373">_xlfn.IFS(I373=1,$I$11,J373=1,$J$11,K373=1,$K$11,L373=1,$L$11)</f>
        <v>Действующий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 x14ac:dyDescent="0.3">
      <c r="A374" s="6" t="s">
        <v>643</v>
      </c>
      <c r="B374" s="6"/>
      <c r="C374" s="6"/>
      <c r="D374" s="6">
        <v>1</v>
      </c>
      <c r="E374" s="6"/>
      <c r="F374" s="6"/>
      <c r="G374" s="6"/>
      <c r="H374" s="9" t="str" cm="1">
        <f t="array" ref="H374">_xlfn.IFS(AND(SUM(B374:D374)=0,SUM(E374:G374)&gt;0),"Новый",AND(SUM(B374:D374)&gt;0,SUM(E374:G374)&gt;0),"Действующий",AND(SUM(B374:D374)&gt;0,SUM(E374:G374)=0),"Спящий",AND(SUM(B374:G374)=0),"Ушедший")</f>
        <v>Спящий</v>
      </c>
      <c r="I374" s="3">
        <f>IF(AND(SUM(B374:D374)=0,SUM(E374:G374)&gt;0),1,0)</f>
        <v>0</v>
      </c>
      <c r="J374" s="3">
        <f t="shared" si="16"/>
        <v>0</v>
      </c>
      <c r="K374" s="3">
        <f t="shared" si="17"/>
        <v>1</v>
      </c>
      <c r="L374" s="3">
        <f t="shared" si="18"/>
        <v>0</v>
      </c>
      <c r="M374" s="3" t="str" cm="1">
        <f t="array" ref="M374">_xlfn.IFS(I374=1,$I$11,J374=1,$J$11,K374=1,$K$11,L374=1,$L$11)</f>
        <v>Спящий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75" customHeight="1" x14ac:dyDescent="0.3">
      <c r="A375" s="6" t="s">
        <v>644</v>
      </c>
      <c r="B375" s="6"/>
      <c r="C375" s="6"/>
      <c r="D375" s="6"/>
      <c r="E375" s="6">
        <v>1</v>
      </c>
      <c r="F375" s="6"/>
      <c r="G375" s="6">
        <v>1</v>
      </c>
      <c r="H375" s="9" t="str" cm="1">
        <f t="array" ref="H375">_xlfn.IFS(AND(SUM(B375:D375)=0,SUM(E375:G375)&gt;0),"Новый",AND(SUM(B375:D375)&gt;0,SUM(E375:G375)&gt;0),"Действующий",AND(SUM(B375:D375)&gt;0,SUM(E375:G375)=0),"Спящий",AND(SUM(B375:G375)=0),"Ушедший")</f>
        <v>Новый</v>
      </c>
      <c r="I375" s="3">
        <f>IF(AND(SUM(B375:D375)=0,SUM(E375:G375)&gt;0),1,0)</f>
        <v>1</v>
      </c>
      <c r="J375" s="3">
        <f t="shared" si="16"/>
        <v>0</v>
      </c>
      <c r="K375" s="3">
        <f t="shared" si="17"/>
        <v>0</v>
      </c>
      <c r="L375" s="3">
        <f t="shared" si="18"/>
        <v>0</v>
      </c>
      <c r="M375" s="3" t="str" cm="1">
        <f t="array" ref="M375">_xlfn.IFS(I375=1,$I$11,J375=1,$J$11,K375=1,$K$11,L375=1,$L$11)</f>
        <v>Новый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 x14ac:dyDescent="0.3">
      <c r="A376" s="6" t="s">
        <v>645</v>
      </c>
      <c r="B376" s="6">
        <v>15</v>
      </c>
      <c r="C376" s="6">
        <v>17</v>
      </c>
      <c r="D376" s="6">
        <v>10</v>
      </c>
      <c r="E376" s="6">
        <v>16</v>
      </c>
      <c r="F376" s="6">
        <v>19</v>
      </c>
      <c r="G376" s="6">
        <v>11</v>
      </c>
      <c r="H376" s="9" t="str" cm="1">
        <f t="array" ref="H376">_xlfn.IFS(AND(SUM(B376:D376)=0,SUM(E376:G376)&gt;0),"Новый",AND(SUM(B376:D376)&gt;0,SUM(E376:G376)&gt;0),"Действующий",AND(SUM(B376:D376)&gt;0,SUM(E376:G376)=0),"Спящий",AND(SUM(B376:G376)=0),"Ушедший")</f>
        <v>Действующий</v>
      </c>
      <c r="I376" s="3">
        <f>IF(AND(SUM(B376:D376)=0,SUM(E376:G376)&gt;0),1,0)</f>
        <v>0</v>
      </c>
      <c r="J376" s="3">
        <f t="shared" si="16"/>
        <v>1</v>
      </c>
      <c r="K376" s="3">
        <f t="shared" si="17"/>
        <v>0</v>
      </c>
      <c r="L376" s="3">
        <f t="shared" si="18"/>
        <v>0</v>
      </c>
      <c r="M376" s="3" t="str" cm="1">
        <f t="array" ref="M376">_xlfn.IFS(I376=1,$I$11,J376=1,$J$11,K376=1,$K$11,L376=1,$L$11)</f>
        <v>Действующий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75" customHeight="1" x14ac:dyDescent="0.3">
      <c r="A377" s="6" t="s">
        <v>646</v>
      </c>
      <c r="B377" s="6"/>
      <c r="C377" s="6"/>
      <c r="D377" s="6">
        <v>1</v>
      </c>
      <c r="E377" s="6"/>
      <c r="F377" s="6"/>
      <c r="G377" s="6"/>
      <c r="H377" s="9" t="str" cm="1">
        <f t="array" ref="H377">_xlfn.IFS(AND(SUM(B377:D377)=0,SUM(E377:G377)&gt;0),"Новый",AND(SUM(B377:D377)&gt;0,SUM(E377:G377)&gt;0),"Действующий",AND(SUM(B377:D377)&gt;0,SUM(E377:G377)=0),"Спящий",AND(SUM(B377:G377)=0),"Ушедший")</f>
        <v>Спящий</v>
      </c>
      <c r="I377" s="3">
        <f>IF(AND(SUM(B377:D377)=0,SUM(E377:G377)&gt;0),1,0)</f>
        <v>0</v>
      </c>
      <c r="J377" s="3">
        <f t="shared" si="16"/>
        <v>0</v>
      </c>
      <c r="K377" s="3">
        <f t="shared" si="17"/>
        <v>1</v>
      </c>
      <c r="L377" s="3">
        <f t="shared" si="18"/>
        <v>0</v>
      </c>
      <c r="M377" s="3" t="str" cm="1">
        <f t="array" ref="M377">_xlfn.IFS(I377=1,$I$11,J377=1,$J$11,K377=1,$K$11,L377=1,$L$11)</f>
        <v>Спящий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 x14ac:dyDescent="0.3">
      <c r="A378" s="6" t="s">
        <v>647</v>
      </c>
      <c r="B378" s="6"/>
      <c r="C378" s="6"/>
      <c r="D378" s="6"/>
      <c r="E378" s="6">
        <v>1</v>
      </c>
      <c r="F378" s="6"/>
      <c r="G378" s="6">
        <v>1</v>
      </c>
      <c r="H378" s="9" t="str" cm="1">
        <f t="array" ref="H378">_xlfn.IFS(AND(SUM(B378:D378)=0,SUM(E378:G378)&gt;0),"Новый",AND(SUM(B378:D378)&gt;0,SUM(E378:G378)&gt;0),"Действующий",AND(SUM(B378:D378)&gt;0,SUM(E378:G378)=0),"Спящий",AND(SUM(B378:G378)=0),"Ушедший")</f>
        <v>Новый</v>
      </c>
      <c r="I378" s="3">
        <f>IF(AND(SUM(B378:D378)=0,SUM(E378:G378)&gt;0),1,0)</f>
        <v>1</v>
      </c>
      <c r="J378" s="3">
        <f t="shared" si="16"/>
        <v>0</v>
      </c>
      <c r="K378" s="3">
        <f t="shared" si="17"/>
        <v>0</v>
      </c>
      <c r="L378" s="3">
        <f t="shared" si="18"/>
        <v>0</v>
      </c>
      <c r="M378" s="3" t="str" cm="1">
        <f t="array" ref="M378">_xlfn.IFS(I378=1,$I$11,J378=1,$J$11,K378=1,$K$11,L378=1,$L$11)</f>
        <v>Новый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75" customHeight="1" x14ac:dyDescent="0.3">
      <c r="A379" s="6" t="s">
        <v>648</v>
      </c>
      <c r="B379" s="6"/>
      <c r="C379" s="6"/>
      <c r="D379" s="6">
        <v>1</v>
      </c>
      <c r="E379" s="6">
        <v>1</v>
      </c>
      <c r="F379" s="6"/>
      <c r="G379" s="6"/>
      <c r="H379" s="9" t="str" cm="1">
        <f t="array" ref="H379">_xlfn.IFS(AND(SUM(B379:D379)=0,SUM(E379:G379)&gt;0),"Новый",AND(SUM(B379:D379)&gt;0,SUM(E379:G379)&gt;0),"Действующий",AND(SUM(B379:D379)&gt;0,SUM(E379:G379)=0),"Спящий",AND(SUM(B379:G379)=0),"Ушедший")</f>
        <v>Действующий</v>
      </c>
      <c r="I379" s="3">
        <f>IF(AND(SUM(B379:D379)=0,SUM(E379:G379)&gt;0),1,0)</f>
        <v>0</v>
      </c>
      <c r="J379" s="3">
        <f t="shared" si="16"/>
        <v>1</v>
      </c>
      <c r="K379" s="3">
        <f t="shared" si="17"/>
        <v>0</v>
      </c>
      <c r="L379" s="3">
        <f t="shared" si="18"/>
        <v>0</v>
      </c>
      <c r="M379" s="3" t="str" cm="1">
        <f t="array" ref="M379">_xlfn.IFS(I379=1,$I$11,J379=1,$J$11,K379=1,$K$11,L379=1,$L$11)</f>
        <v>Действующий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 x14ac:dyDescent="0.3">
      <c r="A380" s="6" t="s">
        <v>649</v>
      </c>
      <c r="B380" s="6"/>
      <c r="C380" s="6">
        <v>1</v>
      </c>
      <c r="D380" s="6"/>
      <c r="E380" s="6">
        <v>1</v>
      </c>
      <c r="F380" s="6"/>
      <c r="G380" s="6"/>
      <c r="H380" s="9" t="str" cm="1">
        <f t="array" ref="H380">_xlfn.IFS(AND(SUM(B380:D380)=0,SUM(E380:G380)&gt;0),"Новый",AND(SUM(B380:D380)&gt;0,SUM(E380:G380)&gt;0),"Действующий",AND(SUM(B380:D380)&gt;0,SUM(E380:G380)=0),"Спящий",AND(SUM(B380:G380)=0),"Ушедший")</f>
        <v>Действующий</v>
      </c>
      <c r="I380" s="3">
        <f>IF(AND(SUM(B380:D380)=0,SUM(E380:G380)&gt;0),1,0)</f>
        <v>0</v>
      </c>
      <c r="J380" s="3">
        <f t="shared" si="16"/>
        <v>1</v>
      </c>
      <c r="K380" s="3">
        <f t="shared" si="17"/>
        <v>0</v>
      </c>
      <c r="L380" s="3">
        <f t="shared" si="18"/>
        <v>0</v>
      </c>
      <c r="M380" s="3" t="str" cm="1">
        <f t="array" ref="M380">_xlfn.IFS(I380=1,$I$11,J380=1,$J$11,K380=1,$K$11,L380=1,$L$11)</f>
        <v>Действующий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75" customHeight="1" x14ac:dyDescent="0.3">
      <c r="A381" s="6" t="s">
        <v>650</v>
      </c>
      <c r="B381" s="6">
        <v>9</v>
      </c>
      <c r="C381" s="6">
        <v>35</v>
      </c>
      <c r="D381" s="6">
        <v>47</v>
      </c>
      <c r="E381" s="6">
        <v>82</v>
      </c>
      <c r="F381" s="6">
        <v>30</v>
      </c>
      <c r="G381" s="6">
        <v>11</v>
      </c>
      <c r="H381" s="9" t="str" cm="1">
        <f t="array" ref="H381">_xlfn.IFS(AND(SUM(B381:D381)=0,SUM(E381:G381)&gt;0),"Новый",AND(SUM(B381:D381)&gt;0,SUM(E381:G381)&gt;0),"Действующий",AND(SUM(B381:D381)&gt;0,SUM(E381:G381)=0),"Спящий",AND(SUM(B381:G381)=0),"Ушедший")</f>
        <v>Действующий</v>
      </c>
      <c r="I381" s="3">
        <f>IF(AND(SUM(B381:D381)=0,SUM(E381:G381)&gt;0),1,0)</f>
        <v>0</v>
      </c>
      <c r="J381" s="3">
        <f t="shared" si="16"/>
        <v>1</v>
      </c>
      <c r="K381" s="3">
        <f t="shared" si="17"/>
        <v>0</v>
      </c>
      <c r="L381" s="3">
        <f t="shared" si="18"/>
        <v>0</v>
      </c>
      <c r="M381" s="3" t="str" cm="1">
        <f t="array" ref="M381">_xlfn.IFS(I381=1,$I$11,J381=1,$J$11,K381=1,$K$11,L381=1,$L$11)</f>
        <v>Действующий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 x14ac:dyDescent="0.3">
      <c r="A382" s="6" t="s">
        <v>651</v>
      </c>
      <c r="B382" s="6"/>
      <c r="C382" s="6"/>
      <c r="D382" s="6"/>
      <c r="E382" s="6"/>
      <c r="F382" s="6">
        <v>1</v>
      </c>
      <c r="G382" s="6"/>
      <c r="H382" s="9" t="str" cm="1">
        <f t="array" ref="H382">_xlfn.IFS(AND(SUM(B382:D382)=0,SUM(E382:G382)&gt;0),"Новый",AND(SUM(B382:D382)&gt;0,SUM(E382:G382)&gt;0),"Действующий",AND(SUM(B382:D382)&gt;0,SUM(E382:G382)=0),"Спящий",AND(SUM(B382:G382)=0),"Ушедший")</f>
        <v>Новый</v>
      </c>
      <c r="I382" s="3">
        <f>IF(AND(SUM(B382:D382)=0,SUM(E382:G382)&gt;0),1,0)</f>
        <v>1</v>
      </c>
      <c r="J382" s="3">
        <f t="shared" si="16"/>
        <v>0</v>
      </c>
      <c r="K382" s="3">
        <f t="shared" si="17"/>
        <v>0</v>
      </c>
      <c r="L382" s="3">
        <f t="shared" si="18"/>
        <v>0</v>
      </c>
      <c r="M382" s="3" t="str" cm="1">
        <f t="array" ref="M382">_xlfn.IFS(I382=1,$I$11,J382=1,$J$11,K382=1,$K$11,L382=1,$L$11)</f>
        <v>Новый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75" customHeight="1" x14ac:dyDescent="0.3">
      <c r="A383" s="6" t="s">
        <v>652</v>
      </c>
      <c r="B383" s="6"/>
      <c r="C383" s="6"/>
      <c r="D383" s="6"/>
      <c r="E383" s="6"/>
      <c r="F383" s="6"/>
      <c r="G383" s="6">
        <v>1</v>
      </c>
      <c r="H383" s="9" t="str" cm="1">
        <f t="array" ref="H383">_xlfn.IFS(AND(SUM(B383:D383)=0,SUM(E383:G383)&gt;0),"Новый",AND(SUM(B383:D383)&gt;0,SUM(E383:G383)&gt;0),"Действующий",AND(SUM(B383:D383)&gt;0,SUM(E383:G383)=0),"Спящий",AND(SUM(B383:G383)=0),"Ушедший")</f>
        <v>Новый</v>
      </c>
      <c r="J383" s="3">
        <f t="shared" si="16"/>
        <v>0</v>
      </c>
      <c r="K383" s="3">
        <f t="shared" si="17"/>
        <v>0</v>
      </c>
      <c r="L383" s="3">
        <f t="shared" si="18"/>
        <v>0</v>
      </c>
      <c r="M383" s="3" t="e" cm="1">
        <f t="array" ref="M383">_xlfn.IFS(I383=1,$I$11,J383=1,$J$11,K383=1,$K$11,L383=1,$L$11)</f>
        <v>#N/A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">
    <mergeCell ref="A10:G1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№1</vt:lpstr>
      <vt:lpstr>№2</vt:lpstr>
      <vt:lpstr>№3</vt:lpstr>
      <vt:lpstr>№4</vt:lpstr>
      <vt:lpstr>№5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ким</cp:lastModifiedBy>
  <dcterms:created xsi:type="dcterms:W3CDTF">2023-11-22T15:20:52Z</dcterms:created>
  <dcterms:modified xsi:type="dcterms:W3CDTF">2026-06-27T12:40:45Z</dcterms:modified>
</cp:coreProperties>
</file>